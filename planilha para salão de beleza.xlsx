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776" activeTab="3"/>
  </bookViews>
  <sheets>
    <sheet name="FLUXO DE CAIXA" sheetId="4" r:id="rId1"/>
    <sheet name="AGENDA" sheetId="2" r:id="rId2"/>
    <sheet name="FUNCIONÁRIOS" sheetId="1" r:id="rId3"/>
    <sheet name="COMPRA-MATERIAL" sheetId="5" r:id="rId4"/>
    <sheet name="ESTOQUE-MATERIAL" sheetId="6" r:id="rId5"/>
    <sheet name="PRECIFICAÇÃO SERVIÇOS" sheetId="7" r:id="rId6"/>
    <sheet name="TIPO SERVIÇO R$" sheetId="8" r:id="rId7"/>
  </sheets>
  <calcPr calcId="145621"/>
</workbook>
</file>

<file path=xl/calcChain.xml><?xml version="1.0" encoding="utf-8"?>
<calcChain xmlns="http://schemas.openxmlformats.org/spreadsheetml/2006/main">
  <c r="D3" i="4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66" i="4"/>
  <c r="A367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C4" i="4" l="1"/>
  <c r="C6" i="4"/>
  <c r="C8" i="4"/>
  <c r="C10" i="4"/>
  <c r="C12" i="4"/>
  <c r="C14" i="4"/>
  <c r="C16" i="4"/>
  <c r="C18" i="4"/>
  <c r="C20" i="4"/>
  <c r="C22" i="4"/>
  <c r="C24" i="4"/>
  <c r="C26" i="4"/>
  <c r="C28" i="4"/>
  <c r="C30" i="4"/>
  <c r="C32" i="4"/>
  <c r="C35" i="4"/>
  <c r="C37" i="4"/>
  <c r="C39" i="4"/>
  <c r="C41" i="4"/>
  <c r="C43" i="4"/>
  <c r="C45" i="4"/>
  <c r="C47" i="4"/>
  <c r="C49" i="4"/>
  <c r="C51" i="4"/>
  <c r="C53" i="4"/>
  <c r="C55" i="4"/>
  <c r="C57" i="4"/>
  <c r="C59" i="4"/>
  <c r="C61" i="4"/>
  <c r="C64" i="4"/>
  <c r="C66" i="4"/>
  <c r="C68" i="4"/>
  <c r="C70" i="4"/>
  <c r="C72" i="4"/>
  <c r="C74" i="4"/>
  <c r="C76" i="4"/>
  <c r="C78" i="4"/>
  <c r="C80" i="4"/>
  <c r="C82" i="4"/>
  <c r="C84" i="4"/>
  <c r="C86" i="4"/>
  <c r="C88" i="4"/>
  <c r="C90" i="4"/>
  <c r="C92" i="4"/>
  <c r="C94" i="4"/>
  <c r="C96" i="4"/>
  <c r="C98" i="4"/>
  <c r="C100" i="4"/>
  <c r="C102" i="4"/>
  <c r="C104" i="4"/>
  <c r="C106" i="4"/>
  <c r="C108" i="4"/>
  <c r="C110" i="4"/>
  <c r="C112" i="4"/>
  <c r="C114" i="4"/>
  <c r="C116" i="4"/>
  <c r="C118" i="4"/>
  <c r="C120" i="4"/>
  <c r="C122" i="4"/>
  <c r="C124" i="4"/>
  <c r="C126" i="4"/>
  <c r="C128" i="4"/>
  <c r="C130" i="4"/>
  <c r="C132" i="4"/>
  <c r="C134" i="4"/>
  <c r="C136" i="4"/>
  <c r="C138" i="4"/>
  <c r="C140" i="4"/>
  <c r="C142" i="4"/>
  <c r="C144" i="4"/>
  <c r="C146" i="4"/>
  <c r="C148" i="4"/>
  <c r="C150" i="4"/>
  <c r="C152" i="4"/>
  <c r="C154" i="4"/>
  <c r="C156" i="4"/>
  <c r="C158" i="4"/>
  <c r="C160" i="4"/>
  <c r="C162" i="4"/>
  <c r="C164" i="4"/>
  <c r="C166" i="4"/>
  <c r="C168" i="4"/>
  <c r="C170" i="4"/>
  <c r="C172" i="4"/>
  <c r="C3" i="4"/>
  <c r="C5" i="4"/>
  <c r="C7" i="4"/>
  <c r="C9" i="4"/>
  <c r="C11" i="4"/>
  <c r="C13" i="4"/>
  <c r="C15" i="4"/>
  <c r="C17" i="4"/>
  <c r="C19" i="4"/>
  <c r="C21" i="4"/>
  <c r="C23" i="4"/>
  <c r="C25" i="4"/>
  <c r="C27" i="4"/>
  <c r="C29" i="4"/>
  <c r="C31" i="4"/>
  <c r="C33" i="4"/>
  <c r="C36" i="4"/>
  <c r="C38" i="4"/>
  <c r="C40" i="4"/>
  <c r="C42" i="4"/>
  <c r="C44" i="4"/>
  <c r="C46" i="4"/>
  <c r="C48" i="4"/>
  <c r="C50" i="4"/>
  <c r="C52" i="4"/>
  <c r="C54" i="4"/>
  <c r="C56" i="4"/>
  <c r="C58" i="4"/>
  <c r="C60" i="4"/>
  <c r="C63" i="4"/>
  <c r="C65" i="4"/>
  <c r="C67" i="4"/>
  <c r="C69" i="4"/>
  <c r="C71" i="4"/>
  <c r="C73" i="4"/>
  <c r="C75" i="4"/>
  <c r="C77" i="4"/>
  <c r="C79" i="4"/>
  <c r="C81" i="4"/>
  <c r="C83" i="4"/>
  <c r="C85" i="4"/>
  <c r="C87" i="4"/>
  <c r="C89" i="4"/>
  <c r="C91" i="4"/>
  <c r="C93" i="4"/>
  <c r="C95" i="4"/>
  <c r="C97" i="4"/>
  <c r="C99" i="4"/>
  <c r="C101" i="4"/>
  <c r="C103" i="4"/>
  <c r="C105" i="4"/>
  <c r="C107" i="4"/>
  <c r="C109" i="4"/>
  <c r="C111" i="4"/>
  <c r="C113" i="4"/>
  <c r="C115" i="4"/>
  <c r="C117" i="4"/>
  <c r="C119" i="4"/>
  <c r="C121" i="4"/>
  <c r="C123" i="4"/>
  <c r="C125" i="4"/>
  <c r="C127" i="4"/>
  <c r="C129" i="4"/>
  <c r="C131" i="4"/>
  <c r="C133" i="4"/>
  <c r="C135" i="4"/>
  <c r="C137" i="4"/>
  <c r="C139" i="4"/>
  <c r="C141" i="4"/>
  <c r="C143" i="4"/>
  <c r="C145" i="4"/>
  <c r="C147" i="4"/>
  <c r="C149" i="4"/>
  <c r="C151" i="4"/>
  <c r="C153" i="4"/>
  <c r="C155" i="4"/>
  <c r="C157" i="4"/>
  <c r="C159" i="4"/>
  <c r="C161" i="4"/>
  <c r="C163" i="4"/>
  <c r="C165" i="4"/>
  <c r="C167" i="4"/>
  <c r="C169" i="4"/>
  <c r="C171" i="4"/>
  <c r="C174" i="4"/>
  <c r="C176" i="4"/>
  <c r="C178" i="4"/>
  <c r="C180" i="4"/>
  <c r="C182" i="4"/>
  <c r="C184" i="4"/>
  <c r="C186" i="4"/>
  <c r="C188" i="4"/>
  <c r="C190" i="4"/>
  <c r="C192" i="4"/>
  <c r="C194" i="4"/>
  <c r="C196" i="4"/>
  <c r="C198" i="4"/>
  <c r="C200" i="4"/>
  <c r="C202" i="4"/>
  <c r="C204" i="4"/>
  <c r="C206" i="4"/>
  <c r="C208" i="4"/>
  <c r="C210" i="4"/>
  <c r="C212" i="4"/>
  <c r="C214" i="4"/>
  <c r="C216" i="4"/>
  <c r="C218" i="4"/>
  <c r="C220" i="4"/>
  <c r="C222" i="4"/>
  <c r="C224" i="4"/>
  <c r="C226" i="4"/>
  <c r="C228" i="4"/>
  <c r="C230" i="4"/>
  <c r="C232" i="4"/>
  <c r="C234" i="4"/>
  <c r="C236" i="4"/>
  <c r="C238" i="4"/>
  <c r="C240" i="4"/>
  <c r="C242" i="4"/>
  <c r="C244" i="4"/>
  <c r="C246" i="4"/>
  <c r="C248" i="4"/>
  <c r="C250" i="4"/>
  <c r="C252" i="4"/>
  <c r="C254" i="4"/>
  <c r="C256" i="4"/>
  <c r="C258" i="4"/>
  <c r="C260" i="4"/>
  <c r="C262" i="4"/>
  <c r="C264" i="4"/>
  <c r="C266" i="4"/>
  <c r="C268" i="4"/>
  <c r="C270" i="4"/>
  <c r="C272" i="4"/>
  <c r="C274" i="4"/>
  <c r="C276" i="4"/>
  <c r="C278" i="4"/>
  <c r="C280" i="4"/>
  <c r="C282" i="4"/>
  <c r="C284" i="4"/>
  <c r="C286" i="4"/>
  <c r="C288" i="4"/>
  <c r="C290" i="4"/>
  <c r="C292" i="4"/>
  <c r="C294" i="4"/>
  <c r="C296" i="4"/>
  <c r="C298" i="4"/>
  <c r="C300" i="4"/>
  <c r="C302" i="4"/>
  <c r="C304" i="4"/>
  <c r="C306" i="4"/>
  <c r="C308" i="4"/>
  <c r="C310" i="4"/>
  <c r="C312" i="4"/>
  <c r="C314" i="4"/>
  <c r="C316" i="4"/>
  <c r="C318" i="4"/>
  <c r="C320" i="4"/>
  <c r="C322" i="4"/>
  <c r="C324" i="4"/>
  <c r="C326" i="4"/>
  <c r="C328" i="4"/>
  <c r="C330" i="4"/>
  <c r="C332" i="4"/>
  <c r="C334" i="4"/>
  <c r="C336" i="4"/>
  <c r="C338" i="4"/>
  <c r="C340" i="4"/>
  <c r="C342" i="4"/>
  <c r="C344" i="4"/>
  <c r="C346" i="4"/>
  <c r="C348" i="4"/>
  <c r="C350" i="4"/>
  <c r="C352" i="4"/>
  <c r="C354" i="4"/>
  <c r="C356" i="4"/>
  <c r="C173" i="4"/>
  <c r="C175" i="4"/>
  <c r="C177" i="4"/>
  <c r="C179" i="4"/>
  <c r="C181" i="4"/>
  <c r="C183" i="4"/>
  <c r="C185" i="4"/>
  <c r="C187" i="4"/>
  <c r="C189" i="4"/>
  <c r="C191" i="4"/>
  <c r="C193" i="4"/>
  <c r="C195" i="4"/>
  <c r="C197" i="4"/>
  <c r="C199" i="4"/>
  <c r="C201" i="4"/>
  <c r="C203" i="4"/>
  <c r="C205" i="4"/>
  <c r="C207" i="4"/>
  <c r="C209" i="4"/>
  <c r="C211" i="4"/>
  <c r="C213" i="4"/>
  <c r="C215" i="4"/>
  <c r="C217" i="4"/>
  <c r="C219" i="4"/>
  <c r="C221" i="4"/>
  <c r="C223" i="4"/>
  <c r="C225" i="4"/>
  <c r="C227" i="4"/>
  <c r="C229" i="4"/>
  <c r="C231" i="4"/>
  <c r="C233" i="4"/>
  <c r="C235" i="4"/>
  <c r="C237" i="4"/>
  <c r="C239" i="4"/>
  <c r="C241" i="4"/>
  <c r="C243" i="4"/>
  <c r="C245" i="4"/>
  <c r="C247" i="4"/>
  <c r="C249" i="4"/>
  <c r="C251" i="4"/>
  <c r="C253" i="4"/>
  <c r="C255" i="4"/>
  <c r="C257" i="4"/>
  <c r="C259" i="4"/>
  <c r="C261" i="4"/>
  <c r="C263" i="4"/>
  <c r="C265" i="4"/>
  <c r="C267" i="4"/>
  <c r="C269" i="4"/>
  <c r="C271" i="4"/>
  <c r="C273" i="4"/>
  <c r="C275" i="4"/>
  <c r="C277" i="4"/>
  <c r="C279" i="4"/>
  <c r="C281" i="4"/>
  <c r="C283" i="4"/>
  <c r="C285" i="4"/>
  <c r="C287" i="4"/>
  <c r="C289" i="4"/>
  <c r="C291" i="4"/>
  <c r="C293" i="4"/>
  <c r="C295" i="4"/>
  <c r="C297" i="4"/>
  <c r="C299" i="4"/>
  <c r="C301" i="4"/>
  <c r="C303" i="4"/>
  <c r="C305" i="4"/>
  <c r="C307" i="4"/>
  <c r="C309" i="4"/>
  <c r="C311" i="4"/>
  <c r="C313" i="4"/>
  <c r="C315" i="4"/>
  <c r="C317" i="4"/>
  <c r="C319" i="4"/>
  <c r="C321" i="4"/>
  <c r="C323" i="4"/>
  <c r="C325" i="4"/>
  <c r="C327" i="4"/>
  <c r="C329" i="4"/>
  <c r="C331" i="4"/>
  <c r="C333" i="4"/>
  <c r="C335" i="4"/>
  <c r="C337" i="4"/>
  <c r="C339" i="4"/>
  <c r="C341" i="4"/>
  <c r="C34" i="4"/>
  <c r="H4" i="4" s="1"/>
  <c r="C367" i="4"/>
  <c r="C365" i="4"/>
  <c r="C363" i="4"/>
  <c r="C361" i="4"/>
  <c r="C359" i="4"/>
  <c r="C357" i="4"/>
  <c r="C353" i="4"/>
  <c r="C349" i="4"/>
  <c r="C345" i="4"/>
  <c r="C62" i="4"/>
  <c r="H5" i="4" s="1"/>
  <c r="C366" i="4"/>
  <c r="C364" i="4"/>
  <c r="C362" i="4"/>
  <c r="C360" i="4"/>
  <c r="C358" i="4"/>
  <c r="C355" i="4"/>
  <c r="C351" i="4"/>
  <c r="C347" i="4"/>
  <c r="C343" i="4"/>
  <c r="H3" i="4"/>
  <c r="J3" i="4" s="1"/>
  <c r="B3" i="8"/>
  <c r="B14" i="8"/>
  <c r="B12" i="8"/>
  <c r="B10" i="8"/>
  <c r="B8" i="8"/>
  <c r="B6" i="8"/>
  <c r="B4" i="8"/>
  <c r="B13" i="8"/>
  <c r="B11" i="8"/>
  <c r="B9" i="8"/>
  <c r="B7" i="8"/>
  <c r="B5" i="8"/>
  <c r="D366" i="4"/>
  <c r="D22" i="4"/>
  <c r="D24" i="4"/>
  <c r="D26" i="4"/>
  <c r="D28" i="4"/>
  <c r="D30" i="4"/>
  <c r="D32" i="4"/>
  <c r="D34" i="4"/>
  <c r="D36" i="4"/>
  <c r="D38" i="4"/>
  <c r="D40" i="4"/>
  <c r="D42" i="4"/>
  <c r="D44" i="4"/>
  <c r="D46" i="4"/>
  <c r="D48" i="4"/>
  <c r="D50" i="4"/>
  <c r="D52" i="4"/>
  <c r="D54" i="4"/>
  <c r="D56" i="4"/>
  <c r="D58" i="4"/>
  <c r="D60" i="4"/>
  <c r="D62" i="4"/>
  <c r="D64" i="4"/>
  <c r="D66" i="4"/>
  <c r="D68" i="4"/>
  <c r="D70" i="4"/>
  <c r="D72" i="4"/>
  <c r="D74" i="4"/>
  <c r="D76" i="4"/>
  <c r="D78" i="4"/>
  <c r="D80" i="4"/>
  <c r="D82" i="4"/>
  <c r="D84" i="4"/>
  <c r="D86" i="4"/>
  <c r="D88" i="4"/>
  <c r="D90" i="4"/>
  <c r="D92" i="4"/>
  <c r="D94" i="4"/>
  <c r="D96" i="4"/>
  <c r="D98" i="4"/>
  <c r="D100" i="4"/>
  <c r="D102" i="4"/>
  <c r="D104" i="4"/>
  <c r="D106" i="4"/>
  <c r="D108" i="4"/>
  <c r="D110" i="4"/>
  <c r="D112" i="4"/>
  <c r="D114" i="4"/>
  <c r="D116" i="4"/>
  <c r="D118" i="4"/>
  <c r="D120" i="4"/>
  <c r="D122" i="4"/>
  <c r="D124" i="4"/>
  <c r="D126" i="4"/>
  <c r="D128" i="4"/>
  <c r="D130" i="4"/>
  <c r="D132" i="4"/>
  <c r="D134" i="4"/>
  <c r="D136" i="4"/>
  <c r="D138" i="4"/>
  <c r="D140" i="4"/>
  <c r="D142" i="4"/>
  <c r="D144" i="4"/>
  <c r="D146" i="4"/>
  <c r="D148" i="4"/>
  <c r="D150" i="4"/>
  <c r="D152" i="4"/>
  <c r="D154" i="4"/>
  <c r="D156" i="4"/>
  <c r="D158" i="4"/>
  <c r="D160" i="4"/>
  <c r="D162" i="4"/>
  <c r="D164" i="4"/>
  <c r="D166" i="4"/>
  <c r="D168" i="4"/>
  <c r="D170" i="4"/>
  <c r="D172" i="4"/>
  <c r="D174" i="4"/>
  <c r="D176" i="4"/>
  <c r="D178" i="4"/>
  <c r="D180" i="4"/>
  <c r="D182" i="4"/>
  <c r="D184" i="4"/>
  <c r="D186" i="4"/>
  <c r="D188" i="4"/>
  <c r="D367" i="4"/>
  <c r="D23" i="4"/>
  <c r="D25" i="4"/>
  <c r="D27" i="4"/>
  <c r="D29" i="4"/>
  <c r="D31" i="4"/>
  <c r="D33" i="4"/>
  <c r="D35" i="4"/>
  <c r="D37" i="4"/>
  <c r="D39" i="4"/>
  <c r="D41" i="4"/>
  <c r="D43" i="4"/>
  <c r="D45" i="4"/>
  <c r="D47" i="4"/>
  <c r="D49" i="4"/>
  <c r="D51" i="4"/>
  <c r="D53" i="4"/>
  <c r="D55" i="4"/>
  <c r="D57" i="4"/>
  <c r="D59" i="4"/>
  <c r="D61" i="4"/>
  <c r="D63" i="4"/>
  <c r="D65" i="4"/>
  <c r="D67" i="4"/>
  <c r="D69" i="4"/>
  <c r="D71" i="4"/>
  <c r="D73" i="4"/>
  <c r="D75" i="4"/>
  <c r="D77" i="4"/>
  <c r="D79" i="4"/>
  <c r="D81" i="4"/>
  <c r="D83" i="4"/>
  <c r="D85" i="4"/>
  <c r="D87" i="4"/>
  <c r="D89" i="4"/>
  <c r="D91" i="4"/>
  <c r="D93" i="4"/>
  <c r="D95" i="4"/>
  <c r="D97" i="4"/>
  <c r="D99" i="4"/>
  <c r="D101" i="4"/>
  <c r="D103" i="4"/>
  <c r="D105" i="4"/>
  <c r="D107" i="4"/>
  <c r="D109" i="4"/>
  <c r="D111" i="4"/>
  <c r="D113" i="4"/>
  <c r="D115" i="4"/>
  <c r="D117" i="4"/>
  <c r="D119" i="4"/>
  <c r="D121" i="4"/>
  <c r="D123" i="4"/>
  <c r="D125" i="4"/>
  <c r="D127" i="4"/>
  <c r="D129" i="4"/>
  <c r="D131" i="4"/>
  <c r="D133" i="4"/>
  <c r="D135" i="4"/>
  <c r="D137" i="4"/>
  <c r="D139" i="4"/>
  <c r="D141" i="4"/>
  <c r="D143" i="4"/>
  <c r="D145" i="4"/>
  <c r="D147" i="4"/>
  <c r="D149" i="4"/>
  <c r="D151" i="4"/>
  <c r="D153" i="4"/>
  <c r="D155" i="4"/>
  <c r="D157" i="4"/>
  <c r="D159" i="4"/>
  <c r="D161" i="4"/>
  <c r="D163" i="4"/>
  <c r="D165" i="4"/>
  <c r="D167" i="4"/>
  <c r="D169" i="4"/>
  <c r="D171" i="4"/>
  <c r="D173" i="4"/>
  <c r="D175" i="4"/>
  <c r="D177" i="4"/>
  <c r="D179" i="4"/>
  <c r="D181" i="4"/>
  <c r="D183" i="4"/>
  <c r="D185" i="4"/>
  <c r="D189" i="4"/>
  <c r="D191" i="4"/>
  <c r="D193" i="4"/>
  <c r="D195" i="4"/>
  <c r="D197" i="4"/>
  <c r="D199" i="4"/>
  <c r="D201" i="4"/>
  <c r="D203" i="4"/>
  <c r="D205" i="4"/>
  <c r="D207" i="4"/>
  <c r="D209" i="4"/>
  <c r="D211" i="4"/>
  <c r="D213" i="4"/>
  <c r="D215" i="4"/>
  <c r="D217" i="4"/>
  <c r="D219" i="4"/>
  <c r="D221" i="4"/>
  <c r="D223" i="4"/>
  <c r="D225" i="4"/>
  <c r="D227" i="4"/>
  <c r="D229" i="4"/>
  <c r="D231" i="4"/>
  <c r="D233" i="4"/>
  <c r="D235" i="4"/>
  <c r="D237" i="4"/>
  <c r="D239" i="4"/>
  <c r="D241" i="4"/>
  <c r="D243" i="4"/>
  <c r="D245" i="4"/>
  <c r="D247" i="4"/>
  <c r="D249" i="4"/>
  <c r="D251" i="4"/>
  <c r="D253" i="4"/>
  <c r="D255" i="4"/>
  <c r="D257" i="4"/>
  <c r="D259" i="4"/>
  <c r="D261" i="4"/>
  <c r="D263" i="4"/>
  <c r="D265" i="4"/>
  <c r="D267" i="4"/>
  <c r="D269" i="4"/>
  <c r="D271" i="4"/>
  <c r="D273" i="4"/>
  <c r="D275" i="4"/>
  <c r="D277" i="4"/>
  <c r="D279" i="4"/>
  <c r="D281" i="4"/>
  <c r="D283" i="4"/>
  <c r="D285" i="4"/>
  <c r="D287" i="4"/>
  <c r="D289" i="4"/>
  <c r="D291" i="4"/>
  <c r="D293" i="4"/>
  <c r="D295" i="4"/>
  <c r="D297" i="4"/>
  <c r="D299" i="4"/>
  <c r="D301" i="4"/>
  <c r="D303" i="4"/>
  <c r="D305" i="4"/>
  <c r="D307" i="4"/>
  <c r="D309" i="4"/>
  <c r="D311" i="4"/>
  <c r="D313" i="4"/>
  <c r="D315" i="4"/>
  <c r="D317" i="4"/>
  <c r="D319" i="4"/>
  <c r="D321" i="4"/>
  <c r="D323" i="4"/>
  <c r="D325" i="4"/>
  <c r="D327" i="4"/>
  <c r="D329" i="4"/>
  <c r="D331" i="4"/>
  <c r="D333" i="4"/>
  <c r="D335" i="4"/>
  <c r="D337" i="4"/>
  <c r="D339" i="4"/>
  <c r="D341" i="4"/>
  <c r="D343" i="4"/>
  <c r="D345" i="4"/>
  <c r="D347" i="4"/>
  <c r="D349" i="4"/>
  <c r="D351" i="4"/>
  <c r="D353" i="4"/>
  <c r="D355" i="4"/>
  <c r="D357" i="4"/>
  <c r="D187" i="4"/>
  <c r="D190" i="4"/>
  <c r="D192" i="4"/>
  <c r="D194" i="4"/>
  <c r="D196" i="4"/>
  <c r="D198" i="4"/>
  <c r="D200" i="4"/>
  <c r="D202" i="4"/>
  <c r="D204" i="4"/>
  <c r="D206" i="4"/>
  <c r="D208" i="4"/>
  <c r="D210" i="4"/>
  <c r="D212" i="4"/>
  <c r="D214" i="4"/>
  <c r="D216" i="4"/>
  <c r="D218" i="4"/>
  <c r="D220" i="4"/>
  <c r="D222" i="4"/>
  <c r="D224" i="4"/>
  <c r="D226" i="4"/>
  <c r="D228" i="4"/>
  <c r="D230" i="4"/>
  <c r="D232" i="4"/>
  <c r="D234" i="4"/>
  <c r="D236" i="4"/>
  <c r="D238" i="4"/>
  <c r="D240" i="4"/>
  <c r="D242" i="4"/>
  <c r="D244" i="4"/>
  <c r="D246" i="4"/>
  <c r="D248" i="4"/>
  <c r="D250" i="4"/>
  <c r="D252" i="4"/>
  <c r="D254" i="4"/>
  <c r="D256" i="4"/>
  <c r="D258" i="4"/>
  <c r="D260" i="4"/>
  <c r="D262" i="4"/>
  <c r="D264" i="4"/>
  <c r="D266" i="4"/>
  <c r="D268" i="4"/>
  <c r="D270" i="4"/>
  <c r="D272" i="4"/>
  <c r="D274" i="4"/>
  <c r="D276" i="4"/>
  <c r="D278" i="4"/>
  <c r="D280" i="4"/>
  <c r="D282" i="4"/>
  <c r="D284" i="4"/>
  <c r="D286" i="4"/>
  <c r="D288" i="4"/>
  <c r="D290" i="4"/>
  <c r="D292" i="4"/>
  <c r="D294" i="4"/>
  <c r="D296" i="4"/>
  <c r="D298" i="4"/>
  <c r="D300" i="4"/>
  <c r="D302" i="4"/>
  <c r="D304" i="4"/>
  <c r="D306" i="4"/>
  <c r="D308" i="4"/>
  <c r="D310" i="4"/>
  <c r="D312" i="4"/>
  <c r="D314" i="4"/>
  <c r="D316" i="4"/>
  <c r="D318" i="4"/>
  <c r="D320" i="4"/>
  <c r="D322" i="4"/>
  <c r="D324" i="4"/>
  <c r="D326" i="4"/>
  <c r="D328" i="4"/>
  <c r="D330" i="4"/>
  <c r="D332" i="4"/>
  <c r="D334" i="4"/>
  <c r="D336" i="4"/>
  <c r="D338" i="4"/>
  <c r="D340" i="4"/>
  <c r="D342" i="4"/>
  <c r="D344" i="4"/>
  <c r="D346" i="4"/>
  <c r="D348" i="4"/>
  <c r="D350" i="4"/>
  <c r="D352" i="4"/>
  <c r="D354" i="4"/>
  <c r="D356" i="4"/>
  <c r="D364" i="4"/>
  <c r="D362" i="4"/>
  <c r="D360" i="4"/>
  <c r="D358" i="4"/>
  <c r="D365" i="4"/>
  <c r="D363" i="4"/>
  <c r="D361" i="4"/>
  <c r="D359" i="4"/>
  <c r="H12" i="4"/>
  <c r="H11" i="4"/>
  <c r="H9" i="4"/>
  <c r="H8" i="4"/>
  <c r="H14" i="4"/>
  <c r="H13" i="4"/>
  <c r="H10" i="4"/>
  <c r="H7" i="4"/>
  <c r="H6" i="4"/>
  <c r="I14" i="4"/>
  <c r="I9" i="4" l="1"/>
  <c r="I6" i="4"/>
  <c r="I12" i="4"/>
  <c r="I10" i="4"/>
  <c r="I5" i="4"/>
  <c r="I11" i="4"/>
  <c r="I13" i="4"/>
  <c r="I7" i="4"/>
  <c r="I3" i="4"/>
  <c r="I8" i="4"/>
  <c r="I4" i="4"/>
</calcChain>
</file>

<file path=xl/sharedStrings.xml><?xml version="1.0" encoding="utf-8"?>
<sst xmlns="http://schemas.openxmlformats.org/spreadsheetml/2006/main" count="87" uniqueCount="61">
  <si>
    <t>DATA</t>
  </si>
  <si>
    <t>HORA</t>
  </si>
  <si>
    <t>CLIENTE</t>
  </si>
  <si>
    <t>TELEFONE</t>
  </si>
  <si>
    <t>CPF</t>
  </si>
  <si>
    <t>TIPO SERVIÇO</t>
  </si>
  <si>
    <t>VALOR R$</t>
  </si>
  <si>
    <t>A RECEBER 
R$</t>
  </si>
  <si>
    <t>ENTRADA</t>
  </si>
  <si>
    <t>SAÍDA</t>
  </si>
  <si>
    <t>NOME</t>
  </si>
  <si>
    <t>SERVIÇO</t>
  </si>
  <si>
    <t>COMISSÃO</t>
  </si>
  <si>
    <t>TOTAL</t>
  </si>
  <si>
    <t>SERVIÇOS E COMISSÕES</t>
  </si>
  <si>
    <t>SALDO</t>
  </si>
  <si>
    <t>ESTOQUE DE MATERIAL</t>
  </si>
  <si>
    <t>PRODUTO</t>
  </si>
  <si>
    <t>VALOR</t>
  </si>
  <si>
    <t>QTD</t>
  </si>
  <si>
    <t>ESTOQUE</t>
  </si>
  <si>
    <t>FLUXO DE CAIXA DIÁRIO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</si>
  <si>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</si>
  <si>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</si>
  <si>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</si>
  <si>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</si>
  <si>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</si>
  <si>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</si>
  <si>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</si>
  <si>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</si>
  <si>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</si>
  <si>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</si>
  <si>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</si>
  <si>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</si>
  <si>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</si>
  <si>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FORMA DE PAGAMENTO</t>
  </si>
  <si>
    <t>ATENDENTE</t>
  </si>
  <si>
    <t>ESCOVA</t>
  </si>
  <si>
    <t>CORTE</t>
  </si>
  <si>
    <t>TRATAMENTO</t>
  </si>
  <si>
    <t>PROGRESSIVA</t>
  </si>
  <si>
    <t>BOTOX</t>
  </si>
  <si>
    <t>SELAGEM</t>
  </si>
  <si>
    <t>MECHAS</t>
  </si>
  <si>
    <t>PENTEADOS</t>
  </si>
  <si>
    <t>MAQUIAGEM</t>
  </si>
  <si>
    <t>SOBRANCELHA</t>
  </si>
  <si>
    <t>PÉ E MÃO</t>
  </si>
  <si>
    <t>POSTIÇA</t>
  </si>
  <si>
    <t>BLINDAGEM</t>
  </si>
  <si>
    <t>ALONGAMENTO</t>
  </si>
  <si>
    <t>MANUTENÇÃO</t>
  </si>
  <si>
    <t>SPA DOS PÉS</t>
  </si>
  <si>
    <t>RECEBIDO</t>
  </si>
  <si>
    <t>CONTROLE DE SALÃO DE BELEZA
(AGENDA)</t>
  </si>
  <si>
    <t>RECEBIDO 2</t>
  </si>
  <si>
    <t>DATA:
RECEB 2</t>
  </si>
  <si>
    <t>UNHA</t>
  </si>
  <si>
    <t>CABELO</t>
  </si>
  <si>
    <t xml:space="preserve">MARÇO </t>
  </si>
  <si>
    <t>PRECIFICAÇÃO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</si>
</sst>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4" fontId="0" fillId="0" borderId="0" xfId="0" applyNumberFormat="1"/>
    <xf numFmtId="0" fontId="5" fillId="2" borderId="0" xfId="0" applyFont="1" applyFill="1" applyAlignment="1"/>
    <xf numFmtId="0" fontId="0" fillId="6" borderId="0" xfId="0" applyFill="1"/>
    <xf numFmtId="0" fontId="4" fillId="6" borderId="0" xfId="0" applyFont="1" applyFill="1" applyAlignment="1">
      <alignment horizontal="center" vertical="center"/>
    </xf>
    <xf numFmtId="0" fontId="0" fillId="0" borderId="0" xfId="0" applyNumberFormat="1"/>
    <xf numFmtId="0" fontId="5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7" xfId="0" applyNumberFormat="1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14" fontId="0" fillId="0" borderId="2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3" fillId="2" borderId="0" xfId="0" applyFont="1" applyFill="1" applyBorder="1" applyAlignment="1">
      <alignment horizontal="center" vertical="center" wrapText="1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8" xfId="0" applyNumberFormat="1" applyBorder="1" applyProtection="1">
      <protection locked="0"/>
    </xf>
    <xf numFmtId="0" fontId="6" fillId="7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0" fillId="0" borderId="11" xfId="0" applyNumberFormat="1" applyBorder="1" applyProtection="1">
      <protection locked="0"/>
    </xf>
    <xf numFmtId="166" fontId="1" fillId="4" borderId="5" xfId="0" applyNumberFormat="1" applyFont="1" applyFill="1" applyBorder="1" applyAlignment="1">
      <alignment horizontal="center" vertical="center"/>
    </xf>
    <xf numFmtId="166" fontId="0" fillId="0" borderId="8" xfId="0" applyNumberForma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12" xfId="0" applyNumberFormat="1" applyBorder="1" applyProtection="1">
      <protection locked="0"/>
    </xf>
    <xf numFmtId="166" fontId="0" fillId="0" borderId="0" xfId="0" applyNumberFormat="1" applyProtection="1">
      <protection locked="0"/>
    </xf>
  </cellXfs>
  <cellStyles count="1">
    <cellStyle name="Normal" xfId="0" builtinId="0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66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00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6" name="Tabela57" displayName="Tabela57" ref="A2:E367" totalsRowShown="0" headerRowDxfId="94">
  <autoFilter ref="A2:E367"/>
  <tableColumns count="5">
    <tableColumn id="6" name="MÊS" dataDxfId="93">
      <calculatedColumnFormula>TEXT(B3,"MMMM")</calculatedColumnFormula>
    </tableColumn>
    <tableColumn id="5" name="DATA"/>
    <tableColumn id="1" name="ENTRADA" dataDxfId="57">
      <calculatedColumnFormula>SUMIF(AGENDA!B:B,Tabela57[DATA],AGENDA!L:L)+SUMIF(AGENDA!A:A,Tabela57[DATA],AGENDA!N:N)</calculatedColumnFormula>
    </tableColumn>
    <tableColumn id="2" name="SAÍDA" dataDxfId="92">
      <calculatedColumnFormula>SUMIF('FLUXO DE CAIXA'!A:A,Tabela57[[#This Row],[DATA]],FUNCIONÁRIOS!E:E)+SUMIF('COMPRA-MATERIAL'!A:A,Tabela57[[#This Row],[DATA]],'COMPRA-MATERIAL'!C:C)</calculatedColumnFormula>
    </tableColumn>
    <tableColumn id="3" name="SALD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2:O370" totalsRowShown="0" headerRowDxfId="83" dataDxfId="82" headerRowBorderDxfId="80" tableBorderDxfId="81" totalsRowBorderDxfId="79">
  <autoFilter ref="A2:O370"/>
  <tableColumns count="15">
    <tableColumn id="16" name="MÊS" dataDxfId="66">
      <calculatedColumnFormula>TEXT(Tabela2[[#This Row],[DATA]],"MMMM")</calculatedColumnFormula>
    </tableColumn>
    <tableColumn id="1" name="DATA" dataDxfId="78"/>
    <tableColumn id="2" name="HORA" dataDxfId="58"/>
    <tableColumn id="3" name="CLIENTE" dataDxfId="77"/>
    <tableColumn id="4" name="CPF" dataDxfId="76"/>
    <tableColumn id="5" name="TELEFONE" dataDxfId="75"/>
    <tableColumn id="13" name="TIPO SERVIÇO" dataDxfId="74"/>
    <tableColumn id="6" name="SERVIÇO" dataDxfId="73"/>
    <tableColumn id="8" name="VALOR R$" dataDxfId="72"/>
    <tableColumn id="7" name="FORMA DE PAGAMENTO" dataDxfId="71"/>
    <tableColumn id="9" name="ATENDENTE" dataDxfId="70"/>
    <tableColumn id="14" name="RECEBIDO" dataDxfId="69"/>
    <tableColumn id="11" name="A RECEBER _x000a_R$" dataDxfId="68"/>
    <tableColumn id="15" name="RECEBIDO 2" dataDxfId="67"/>
    <tableColumn id="12" name="DATA:_x000a_RECEB 2" dataDxfId="6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5" name="Tabela5" displayName="Tabela5" ref="A2:E3" totalsRowShown="0" headerRowDxfId="97">
  <autoFilter ref="A2:E3"/>
  <tableColumns count="5">
    <tableColumn id="5" name="DATA"/>
    <tableColumn id="1" name="NOME"/>
    <tableColumn id="2" name="SERVIÇO"/>
    <tableColumn id="3" name="COMISSÃO"/>
    <tableColumn id="4" name="TOTAL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7" name="Tabela58" displayName="Tabela58" ref="A2:C3" totalsRowShown="0" headerRowDxfId="96">
  <autoFilter ref="A2:C3"/>
  <tableColumns count="3">
    <tableColumn id="5" name="DATA"/>
    <tableColumn id="1" name="PRODUTO"/>
    <tableColumn id="2" name="VALOR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8" name="Tabela589" displayName="Tabela589" ref="A2:B3" totalsRowShown="0" headerRowDxfId="95">
  <autoFilter ref="A2:B3"/>
  <tableColumns count="2">
    <tableColumn id="1" name="PRODUTO"/>
    <tableColumn id="2" name="QTD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10" name="Tabela58911" displayName="Tabela58911" ref="A2:B18" totalsRowShown="0" headerRowDxfId="91" dataDxfId="90">
  <autoFilter ref="A2:B18"/>
  <sortState ref="A3:B18">
    <sortCondition ref="A2:A18"/>
  </sortState>
  <tableColumns count="2">
    <tableColumn id="1" name="SERVIÇO" dataDxfId="88"/>
    <tableColumn id="2" name="VALOR" dataDxfId="8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7"/>
  <sheetViews>
    <sheetView showGridLines="0" topLeftCell="B1" zoomScale="115" zoomScaleNormal="115" workbookViewId="0">
      <selection activeCell="K14" sqref="K14"/>
    </sheetView>
  </sheetViews>
  <sheetFormatPr defaultRowHeight="15" x14ac:dyDescent="0.25"/>
  <cols>
    <col min="1" max="1" width="12.85546875" hidden="1" customWidth="1"/>
    <col min="2" max="2" width="15.42578125" customWidth="1"/>
    <col min="3" max="3" width="18.140625" bestFit="1" customWidth="1"/>
    <col min="4" max="5" width="14.28515625" bestFit="1" customWidth="1"/>
    <col min="6" max="6" width="9.140625" style="10"/>
    <col min="7" max="7" width="13.5703125" bestFit="1" customWidth="1"/>
    <col min="8" max="8" width="14" customWidth="1"/>
    <col min="9" max="9" width="14.42578125" customWidth="1"/>
  </cols>
  <sheetData>
    <row r="1" spans="1:10" ht="33.75" x14ac:dyDescent="0.5">
      <c r="A1" s="7" t="s">
        <v>21</v>
      </c>
      <c r="B1" s="7"/>
      <c r="C1" s="7"/>
      <c r="D1" s="7"/>
      <c r="E1" s="7"/>
      <c r="G1" s="13" t="s">
        <v>22</v>
      </c>
      <c r="H1" s="13"/>
      <c r="I1" s="13"/>
      <c r="J1" s="13"/>
    </row>
    <row r="2" spans="1:10" ht="21" x14ac:dyDescent="0.25">
      <c r="A2" t="s">
        <v>22</v>
      </c>
      <c r="B2" s="6" t="s">
        <v>0</v>
      </c>
      <c r="C2" s="6" t="s">
        <v>8</v>
      </c>
      <c r="D2" s="6" t="s">
        <v>9</v>
      </c>
      <c r="E2" s="6" t="s">
        <v>15</v>
      </c>
      <c r="F2" s="11"/>
      <c r="G2" s="14" t="s">
        <v>22</v>
      </c>
      <c r="H2" s="14" t="s">
        <v>8</v>
      </c>
      <c r="I2" s="14" t="s">
        <v>9</v>
      </c>
      <c r="J2" s="14" t="s">
        <v>15</v>
      </c>
    </row>
    <row r="3" spans="1:10" x14ac:dyDescent="0.25">
      <c r="A3" s="8" t="str">
        <f t="shared" ref="A3:A20" si="0">TEXT(B3,"MMMM")</f>
        <v>janeiro</v>
      </c>
      <c r="B3" s="8">
        <v>46023</v>
      </c>
      <c r="C3">
        <f>SUMIF(AGENDA!B:B,Tabela57[DATA],AGENDA!L:L)+SUMIF(AGENDA!A:A,Tabela57[DATA],AGENDA!N:N)</f>
        <v>0</v>
      </c>
      <c r="D3">
        <f>SUMIF('FLUXO DE CAIXA'!A:A,Tabela57[[#This Row],[DATA]],FUNCIONÁRIOS!E:E)+SUMIF('COMPRA-MATERIAL'!A:A,Tabela57[[#This Row],[DATA]],'COMPRA-MATERIAL'!C:C)</f>
        <v>0</v>
      </c>
      <c r="G3" s="15" t="s">
        <v>23</v>
      </c>
      <c r="H3" s="1">
        <f>SUMIF(A:A,$G$3,C:C)</f>
        <v>0</v>
      </c>
      <c r="I3" s="1">
        <f>SUMIF(A:A,G3,D:D)</f>
        <v>0</v>
      </c>
      <c r="J3" s="1">
        <f>H3-I3</f>
        <v>0</v>
      </c>
    </row>
    <row r="4" spans="1:10" x14ac:dyDescent="0.25">
      <c r="A4" s="8" t="str">
        <f t="shared" si="0"/>
        <v>janeiro</v>
      </c>
      <c r="B4" s="8">
        <v>46024</v>
      </c>
      <c r="C4">
        <f>SUMIF(AGENDA!B:B,Tabela57[DATA],AGENDA!L:L)+SUMIF(AGENDA!A:A,Tabela57[DATA],AGENDA!N:N)</f>
        <v>0</v>
      </c>
      <c r="D4">
        <f>SUMIF('FLUXO DE CAIXA'!A:A,Tabela57[[#This Row],[DATA]],FUNCIONÁRIOS!E:E)+SUMIF('COMPRA-MATERIAL'!A:A,Tabela57[[#This Row],[DATA]],'COMPRA-MATERIAL'!C:C)</f>
        <v>0</v>
      </c>
      <c r="G4" s="15" t="s">
        <v>24</v>
      </c>
      <c r="H4" s="1">
        <f>SUMIF(A:A,G4,C:C)</f>
        <v>0</v>
      </c>
      <c r="I4" s="1">
        <f>SUMIF(A:A,G4,D:D)</f>
        <v>0</v>
      </c>
      <c r="J4" s="1"/>
    </row>
    <row r="5" spans="1:10" x14ac:dyDescent="0.25">
      <c r="A5" s="8" t="str">
        <f t="shared" si="0"/>
        <v>janeiro</v>
      </c>
      <c r="B5" s="8">
        <v>46025</v>
      </c>
      <c r="C5">
        <f>SUMIF(AGENDA!B:B,Tabela57[DATA],AGENDA!L:L)+SUMIF(AGENDA!A:A,Tabela57[DATA],AGENDA!N:N)</f>
        <v>0</v>
      </c>
      <c r="D5">
        <f>SUMIF('FLUXO DE CAIXA'!A:A,Tabela57[[#This Row],[DATA]],FUNCIONÁRIOS!E:E)+SUMIF('COMPRA-MATERIAL'!A:A,Tabela57[[#This Row],[DATA]],'COMPRA-MATERIAL'!C:C)</f>
        <v>0</v>
      </c>
      <c r="G5" s="15" t="s">
        <v>25</v>
      </c>
      <c r="H5" s="1">
        <f>SUMIF(A:A,G5,C:C)</f>
        <v>0</v>
      </c>
      <c r="I5" s="1">
        <f>SUMIF(A:A,G5,D:D)</f>
        <v>0</v>
      </c>
      <c r="J5" s="1"/>
    </row>
    <row r="6" spans="1:10" x14ac:dyDescent="0.25">
      <c r="A6" s="8" t="str">
        <f t="shared" si="0"/>
        <v>janeiro</v>
      </c>
      <c r="B6" s="8">
        <v>46026</v>
      </c>
      <c r="C6">
        <f>SUMIF(AGENDA!B:B,Tabela57[DATA],AGENDA!L:L)+SUMIF(AGENDA!A:A,Tabela57[DATA],AGENDA!N:N)</f>
        <v>0</v>
      </c>
      <c r="D6">
        <f>SUMIF('FLUXO DE CAIXA'!A:A,Tabela57[[#This Row],[DATA]],FUNCIONÁRIOS!E:E)+SUMIF('COMPRA-MATERIAL'!A:A,Tabela57[[#This Row],[DATA]],'COMPRA-MATERIAL'!C:C)</f>
        <v>0</v>
      </c>
      <c r="G6" s="15" t="s">
        <v>26</v>
      </c>
      <c r="H6" s="1">
        <f>SUMIF(A:A,G6,C:C)</f>
        <v>0</v>
      </c>
      <c r="I6" s="1">
        <f>SUMIF(A:A,G6,D:D)</f>
        <v>0</v>
      </c>
      <c r="J6" s="1"/>
    </row>
    <row r="7" spans="1:10" x14ac:dyDescent="0.25">
      <c r="A7" s="8" t="str">
        <f t="shared" si="0"/>
        <v>janeiro</v>
      </c>
      <c r="B7" s="8">
        <v>46027</v>
      </c>
      <c r="C7">
        <f>SUMIF(AGENDA!B:B,Tabela57[DATA],AGENDA!L:L)+SUMIF(AGENDA!A:A,Tabela57[DATA],AGENDA!N:N)</f>
        <v>0</v>
      </c>
      <c r="D7">
        <f>SUMIF('FLUXO DE CAIXA'!A:A,Tabela57[[#This Row],[DATA]],FUNCIONÁRIOS!E:E)+SUMIF('COMPRA-MATERIAL'!A:A,Tabela57[[#This Row],[DATA]],'COMPRA-MATERIAL'!C:C)</f>
        <v>0</v>
      </c>
      <c r="G7" s="15" t="s">
        <v>27</v>
      </c>
      <c r="H7" s="1">
        <f>SUMIF(A:A,G7,C:C)</f>
        <v>0</v>
      </c>
      <c r="I7" s="1">
        <f>SUMIF(A:A,G7,D:D)</f>
        <v>0</v>
      </c>
      <c r="J7" s="1"/>
    </row>
    <row r="8" spans="1:10" x14ac:dyDescent="0.25">
      <c r="A8" s="8" t="str">
        <f t="shared" si="0"/>
        <v>janeiro</v>
      </c>
      <c r="B8" s="8">
        <v>46028</v>
      </c>
      <c r="C8">
        <f>SUMIF(AGENDA!B:B,Tabela57[DATA],AGENDA!L:L)+SUMIF(AGENDA!A:A,Tabela57[DATA],AGENDA!N:N)</f>
        <v>0</v>
      </c>
      <c r="D8">
        <f>SUMIF('FLUXO DE CAIXA'!A:A,Tabela57[[#This Row],[DATA]],FUNCIONÁRIOS!E:E)+SUMIF('COMPRA-MATERIAL'!A:A,Tabela57[[#This Row],[DATA]],'COMPRA-MATERIAL'!C:C)</f>
        <v>0</v>
      </c>
      <c r="G8" s="15" t="s">
        <v>28</v>
      </c>
      <c r="H8" s="1">
        <f>SUMIF(A:A,G8,C:C)</f>
        <v>0</v>
      </c>
      <c r="I8" s="1">
        <f>SUMIF(A:A,G8,D:D)</f>
        <v>0</v>
      </c>
      <c r="J8" s="1"/>
    </row>
    <row r="9" spans="1:10" x14ac:dyDescent="0.25">
      <c r="A9" s="8" t="str">
        <f t="shared" si="0"/>
        <v>janeiro</v>
      </c>
      <c r="B9" s="8">
        <v>46029</v>
      </c>
      <c r="C9">
        <f>SUMIF(AGENDA!B:B,Tabela57[DATA],AGENDA!L:L)+SUMIF(AGENDA!A:A,Tabela57[DATA],AGENDA!N:N)</f>
        <v>0</v>
      </c>
      <c r="D9">
        <f>SUMIF('FLUXO DE CAIXA'!A:A,Tabela57[[#This Row],[DATA]],FUNCIONÁRIOS!E:E)+SUMIF('COMPRA-MATERIAL'!A:A,Tabela57[[#This Row],[DATA]],'COMPRA-MATERIAL'!C:C)</f>
        <v>0</v>
      </c>
      <c r="G9" s="15" t="s">
        <v>29</v>
      </c>
      <c r="H9" s="1">
        <f>SUMIF(A:A,G9,C:C)</f>
        <v>0</v>
      </c>
      <c r="I9" s="1">
        <f>SUMIF(A:A,G9,D:D)</f>
        <v>0</v>
      </c>
      <c r="J9" s="1"/>
    </row>
    <row r="10" spans="1:10" x14ac:dyDescent="0.25">
      <c r="A10" s="8" t="str">
        <f t="shared" si="0"/>
        <v>janeiro</v>
      </c>
      <c r="B10" s="8">
        <v>46030</v>
      </c>
      <c r="C10">
        <f>SUMIF(AGENDA!B:B,Tabela57[DATA],AGENDA!L:L)+SUMIF(AGENDA!A:A,Tabela57[DATA],AGENDA!N:N)</f>
        <v>0</v>
      </c>
      <c r="D10">
        <f>SUMIF('FLUXO DE CAIXA'!A:A,Tabela57[[#This Row],[DATA]],FUNCIONÁRIOS!E:E)+SUMIF('COMPRA-MATERIAL'!A:A,Tabela57[[#This Row],[DATA]],'COMPRA-MATERIAL'!C:C)</f>
        <v>0</v>
      </c>
      <c r="G10" s="15" t="s">
        <v>30</v>
      </c>
      <c r="H10" s="1">
        <f>SUMIF(A:A,G10,C:C)</f>
        <v>0</v>
      </c>
      <c r="I10" s="1">
        <f>SUMIF(A:A,G10,D:D)</f>
        <v>0</v>
      </c>
      <c r="J10" s="1"/>
    </row>
    <row r="11" spans="1:10" x14ac:dyDescent="0.25">
      <c r="A11" s="8" t="str">
        <f t="shared" si="0"/>
        <v>janeiro</v>
      </c>
      <c r="B11" s="8">
        <v>46031</v>
      </c>
      <c r="C11">
        <f>SUMIF(AGENDA!B:B,Tabela57[DATA],AGENDA!L:L)+SUMIF(AGENDA!A:A,Tabela57[DATA],AGENDA!N:N)</f>
        <v>0</v>
      </c>
      <c r="D11">
        <f>SUMIF('FLUXO DE CAIXA'!A:A,Tabela57[[#This Row],[DATA]],FUNCIONÁRIOS!E:E)+SUMIF('COMPRA-MATERIAL'!A:A,Tabela57[[#This Row],[DATA]],'COMPRA-MATERIAL'!C:C)</f>
        <v>0</v>
      </c>
      <c r="G11" s="15" t="s">
        <v>31</v>
      </c>
      <c r="H11" s="1">
        <f>SUMIF(A:A,G11,C:C)</f>
        <v>0</v>
      </c>
      <c r="I11" s="1">
        <f>SUMIF(A:A,G11,D:D)</f>
        <v>0</v>
      </c>
      <c r="J11" s="1"/>
    </row>
    <row r="12" spans="1:10" x14ac:dyDescent="0.25">
      <c r="A12" s="8" t="str">
        <f t="shared" si="0"/>
        <v>janeiro</v>
      </c>
      <c r="B12" s="8">
        <v>46032</v>
      </c>
      <c r="C12">
        <f>SUMIF(AGENDA!B:B,Tabela57[DATA],AGENDA!L:L)+SUMIF(AGENDA!A:A,Tabela57[DATA],AGENDA!N:N)</f>
        <v>0</v>
      </c>
      <c r="D12">
        <f>SUMIF('FLUXO DE CAIXA'!A:A,Tabela57[[#This Row],[DATA]],FUNCIONÁRIOS!E:E)+SUMIF('COMPRA-MATERIAL'!A:A,Tabela57[[#This Row],[DATA]],'COMPRA-MATERIAL'!C:C)</f>
        <v>0</v>
      </c>
      <c r="G12" s="15" t="s">
        <v>32</v>
      </c>
      <c r="H12" s="1">
        <f>SUMIF(A:A,G12,C:C)</f>
        <v>0</v>
      </c>
      <c r="I12" s="1">
        <f>SUMIF(A:A,G12,D:D)</f>
        <v>0</v>
      </c>
      <c r="J12" s="1"/>
    </row>
    <row r="13" spans="1:10" x14ac:dyDescent="0.25">
      <c r="A13" s="8" t="str">
        <f t="shared" si="0"/>
        <v>janeiro</v>
      </c>
      <c r="B13" s="8">
        <v>46033</v>
      </c>
      <c r="C13">
        <f>SUMIF(AGENDA!B:B,Tabela57[DATA],AGENDA!L:L)+SUMIF(AGENDA!A:A,Tabela57[DATA],AGENDA!N:N)</f>
        <v>0</v>
      </c>
      <c r="D13">
        <f>SUMIF('FLUXO DE CAIXA'!A:A,Tabela57[[#This Row],[DATA]],FUNCIONÁRIOS!E:E)+SUMIF('COMPRA-MATERIAL'!A:A,Tabela57[[#This Row],[DATA]],'COMPRA-MATERIAL'!C:C)</f>
        <v>0</v>
      </c>
      <c r="G13" s="15" t="s">
        <v>33</v>
      </c>
      <c r="H13" s="1">
        <f>SUMIF(A:A,G13,C:C)</f>
        <v>0</v>
      </c>
      <c r="I13" s="1">
        <f>SUMIF(A:A,G13,D:D)</f>
        <v>0</v>
      </c>
      <c r="J13" s="1"/>
    </row>
    <row r="14" spans="1:10" x14ac:dyDescent="0.25">
      <c r="A14" s="8" t="str">
        <f t="shared" si="0"/>
        <v>janeiro</v>
      </c>
      <c r="B14" s="8">
        <v>46034</v>
      </c>
      <c r="C14">
        <f>SUMIF(AGENDA!B:B,Tabela57[DATA],AGENDA!L:L)+SUMIF(AGENDA!A:A,Tabela57[DATA],AGENDA!N:N)</f>
        <v>0</v>
      </c>
      <c r="D14">
        <f>SUMIF('FLUXO DE CAIXA'!A:A,Tabela57[[#This Row],[DATA]],FUNCIONÁRIOS!E:E)+SUMIF('COMPRA-MATERIAL'!A:A,Tabela57[[#This Row],[DATA]],'COMPRA-MATERIAL'!C:C)</f>
        <v>0</v>
      </c>
      <c r="G14" s="15" t="s">
        <v>34</v>
      </c>
      <c r="H14" s="1">
        <f>SUMIF(A:A,G14,C:C)</f>
        <v>0</v>
      </c>
      <c r="I14" s="1">
        <f>SUMIF(A:A,G14,D:D)</f>
        <v>0</v>
      </c>
      <c r="J14" s="1"/>
    </row>
    <row r="15" spans="1:10" x14ac:dyDescent="0.25">
      <c r="A15" s="8" t="str">
        <f t="shared" si="0"/>
        <v>janeiro</v>
      </c>
      <c r="B15" s="8">
        <v>46035</v>
      </c>
      <c r="C15">
        <f>SUMIF(AGENDA!B:B,Tabela57[DATA],AGENDA!L:L)+SUMIF(AGENDA!A:A,Tabela57[DATA],AGENDA!N:N)</f>
        <v>0</v>
      </c>
      <c r="D15">
        <f>SUMIF('FLUXO DE CAIXA'!A:A,Tabela57[[#This Row],[DATA]],FUNCIONÁRIOS!E:E)+SUMIF('COMPRA-MATERIAL'!A:A,Tabela57[[#This Row],[DATA]],'COMPRA-MATERIAL'!C:C)</f>
        <v>0</v>
      </c>
    </row>
    <row r="16" spans="1:10" x14ac:dyDescent="0.25">
      <c r="A16" s="8" t="str">
        <f t="shared" si="0"/>
        <v>janeiro</v>
      </c>
      <c r="B16" s="8">
        <v>46036</v>
      </c>
      <c r="C16">
        <f>SUMIF(AGENDA!B:B,Tabela57[DATA],AGENDA!L:L)+SUMIF(AGENDA!A:A,Tabela57[DATA],AGENDA!N:N)</f>
        <v>0</v>
      </c>
      <c r="D16">
        <f>SUMIF('FLUXO DE CAIXA'!A:A,Tabela57[[#This Row],[DATA]],FUNCIONÁRIOS!E:E)+SUMIF('COMPRA-MATERIAL'!A:A,Tabela57[[#This Row],[DATA]],'COMPRA-MATERIAL'!C:C)</f>
        <v>0</v>
      </c>
    </row>
    <row r="17" spans="1:4" x14ac:dyDescent="0.25">
      <c r="A17" s="8" t="str">
        <f t="shared" si="0"/>
        <v>janeiro</v>
      </c>
      <c r="B17" s="8">
        <v>46037</v>
      </c>
      <c r="C17">
        <f>SUMIF(AGENDA!B:B,Tabela57[DATA],AGENDA!L:L)+SUMIF(AGENDA!A:A,Tabela57[DATA],AGENDA!N:N)</f>
        <v>0</v>
      </c>
      <c r="D17">
        <f>SUMIF('FLUXO DE CAIXA'!A:A,Tabela57[[#This Row],[DATA]],FUNCIONÁRIOS!E:E)+SUMIF('COMPRA-MATERIAL'!A:A,Tabela57[[#This Row],[DATA]],'COMPRA-MATERIAL'!C:C)</f>
        <v>0</v>
      </c>
    </row>
    <row r="18" spans="1:4" x14ac:dyDescent="0.25">
      <c r="A18" s="8" t="str">
        <f t="shared" si="0"/>
        <v>janeiro</v>
      </c>
      <c r="B18" s="8">
        <v>46038</v>
      </c>
      <c r="C18">
        <f>SUMIF(AGENDA!B:B,Tabela57[DATA],AGENDA!L:L)+SUMIF(AGENDA!A:A,Tabela57[DATA],AGENDA!N:N)</f>
        <v>0</v>
      </c>
      <c r="D18">
        <f>SUMIF('FLUXO DE CAIXA'!A:A,Tabela57[[#This Row],[DATA]],FUNCIONÁRIOS!E:E)+SUMIF('COMPRA-MATERIAL'!A:A,Tabela57[[#This Row],[DATA]],'COMPRA-MATERIAL'!C:C)</f>
        <v>0</v>
      </c>
    </row>
    <row r="19" spans="1:4" x14ac:dyDescent="0.25">
      <c r="A19" s="8" t="str">
        <f t="shared" si="0"/>
        <v>janeiro</v>
      </c>
      <c r="B19" s="8">
        <v>46039</v>
      </c>
      <c r="C19">
        <f>SUMIF(AGENDA!B:B,Tabela57[DATA],AGENDA!L:L)+SUMIF(AGENDA!A:A,Tabela57[DATA],AGENDA!N:N)</f>
        <v>0</v>
      </c>
      <c r="D19">
        <f>SUMIF('FLUXO DE CAIXA'!A:A,Tabela57[[#This Row],[DATA]],FUNCIONÁRIOS!E:E)+SUMIF('COMPRA-MATERIAL'!A:A,Tabela57[[#This Row],[DATA]],'COMPRA-MATERIAL'!C:C)</f>
        <v>0</v>
      </c>
    </row>
    <row r="20" spans="1:4" x14ac:dyDescent="0.25">
      <c r="A20" s="8" t="str">
        <f t="shared" si="0"/>
        <v>janeiro</v>
      </c>
      <c r="B20" s="8">
        <v>46040</v>
      </c>
      <c r="C20">
        <f>SUMIF(AGENDA!B:B,Tabela57[DATA],AGENDA!L:L)+SUMIF(AGENDA!A:A,Tabela57[DATA],AGENDA!N:N)</f>
        <v>0</v>
      </c>
      <c r="D20">
        <f>SUMIF('FLUXO DE CAIXA'!A:A,Tabela57[[#This Row],[DATA]],FUNCIONÁRIOS!E:E)+SUMIF('COMPRA-MATERIAL'!A:A,Tabela57[[#This Row],[DATA]],'COMPRA-MATERIAL'!C:C)</f>
        <v>0</v>
      </c>
    </row>
    <row r="21" spans="1:4" x14ac:dyDescent="0.25">
      <c r="A21" s="8" t="str">
        <f>TEXT(B21,"MMMM")</f>
        <v>janeiro</v>
      </c>
      <c r="B21" s="8">
        <v>46041</v>
      </c>
      <c r="C21">
        <f>SUMIF(AGENDA!B:B,Tabela57[DATA],AGENDA!L:L)+SUMIF(AGENDA!A:A,Tabela57[DATA],AGENDA!N:N)</f>
        <v>0</v>
      </c>
      <c r="D21">
        <f>SUMIF('FLUXO DE CAIXA'!A:A,Tabela57[[#This Row],[DATA]],FUNCIONÁRIOS!E:E)+SUMIF('COMPRA-MATERIAL'!A:A,Tabela57[[#This Row],[DATA]],'COMPRA-MATERIAL'!C:C)</f>
        <v>0</v>
      </c>
    </row>
    <row r="22" spans="1:4" x14ac:dyDescent="0.25">
      <c r="A22" s="8" t="str">
        <f t="shared" ref="A22:A85" si="1">TEXT(B22,"MMMM")</f>
        <v>janeiro</v>
      </c>
      <c r="B22" s="8">
        <v>46042</v>
      </c>
      <c r="C22">
        <f>SUMIF(AGENDA!B:B,Tabela57[DATA],AGENDA!L:L)+SUMIF(AGENDA!A:A,Tabela57[DATA],AGENDA!N:N)</f>
        <v>0</v>
      </c>
      <c r="D22" s="12">
        <f>SUMIF('FLUXO DE CAIXA'!A:A,Tabela57[[#This Row],[DATA]],FUNCIONÁRIOS!E:E)+SUMIF('COMPRA-MATERIAL'!A:A,Tabela57[[#This Row],[DATA]],'COMPRA-MATERIAL'!C:C)</f>
        <v>0</v>
      </c>
    </row>
    <row r="23" spans="1:4" x14ac:dyDescent="0.25">
      <c r="A23" s="8" t="str">
        <f t="shared" si="1"/>
        <v>janeiro</v>
      </c>
      <c r="B23" s="8">
        <v>46043</v>
      </c>
      <c r="C23">
        <f>SUMIF(AGENDA!B:B,Tabela57[DATA],AGENDA!L:L)+SUMIF(AGENDA!A:A,Tabela57[DATA],AGENDA!N:N)</f>
        <v>0</v>
      </c>
      <c r="D23" s="12">
        <f>SUMIF('FLUXO DE CAIXA'!A:A,Tabela57[[#This Row],[DATA]],FUNCIONÁRIOS!E:E)+SUMIF('COMPRA-MATERIAL'!A:A,Tabela57[[#This Row],[DATA]],'COMPRA-MATERIAL'!C:C)</f>
        <v>0</v>
      </c>
    </row>
    <row r="24" spans="1:4" x14ac:dyDescent="0.25">
      <c r="A24" s="8" t="str">
        <f t="shared" si="1"/>
        <v>janeiro</v>
      </c>
      <c r="B24" s="8">
        <v>46044</v>
      </c>
      <c r="C24">
        <f>SUMIF(AGENDA!B:B,Tabela57[DATA],AGENDA!L:L)+SUMIF(AGENDA!A:A,Tabela57[DATA],AGENDA!N:N)</f>
        <v>0</v>
      </c>
      <c r="D24" s="12">
        <f>SUMIF('FLUXO DE CAIXA'!A:A,Tabela57[[#This Row],[DATA]],FUNCIONÁRIOS!E:E)+SUMIF('COMPRA-MATERIAL'!A:A,Tabela57[[#This Row],[DATA]],'COMPRA-MATERIAL'!C:C)</f>
        <v>0</v>
      </c>
    </row>
    <row r="25" spans="1:4" x14ac:dyDescent="0.25">
      <c r="A25" s="8" t="str">
        <f t="shared" si="1"/>
        <v>janeiro</v>
      </c>
      <c r="B25" s="8">
        <v>46045</v>
      </c>
      <c r="C25">
        <f>SUMIF(AGENDA!B:B,Tabela57[DATA],AGENDA!L:L)+SUMIF(AGENDA!A:A,Tabela57[DATA],AGENDA!N:N)</f>
        <v>0</v>
      </c>
      <c r="D25" s="12">
        <f>SUMIF('FLUXO DE CAIXA'!A:A,Tabela57[[#This Row],[DATA]],FUNCIONÁRIOS!E:E)+SUMIF('COMPRA-MATERIAL'!A:A,Tabela57[[#This Row],[DATA]],'COMPRA-MATERIAL'!C:C)</f>
        <v>0</v>
      </c>
    </row>
    <row r="26" spans="1:4" x14ac:dyDescent="0.25">
      <c r="A26" s="8" t="str">
        <f t="shared" si="1"/>
        <v>janeiro</v>
      </c>
      <c r="B26" s="8">
        <v>46046</v>
      </c>
      <c r="C26">
        <f>SUMIF(AGENDA!B:B,Tabela57[DATA],AGENDA!L:L)+SUMIF(AGENDA!A:A,Tabela57[DATA],AGENDA!N:N)</f>
        <v>0</v>
      </c>
      <c r="D26" s="12">
        <f>SUMIF('FLUXO DE CAIXA'!A:A,Tabela57[[#This Row],[DATA]],FUNCIONÁRIOS!E:E)+SUMIF('COMPRA-MATERIAL'!A:A,Tabela57[[#This Row],[DATA]],'COMPRA-MATERIAL'!C:C)</f>
        <v>0</v>
      </c>
    </row>
    <row r="27" spans="1:4" x14ac:dyDescent="0.25">
      <c r="A27" s="8" t="str">
        <f t="shared" si="1"/>
        <v>janeiro</v>
      </c>
      <c r="B27" s="8">
        <v>46047</v>
      </c>
      <c r="C27">
        <f>SUMIF(AGENDA!B:B,Tabela57[DATA],AGENDA!L:L)+SUMIF(AGENDA!A:A,Tabela57[DATA],AGENDA!N:N)</f>
        <v>0</v>
      </c>
      <c r="D27" s="12">
        <f>SUMIF('FLUXO DE CAIXA'!A:A,Tabela57[[#This Row],[DATA]],FUNCIONÁRIOS!E:E)+SUMIF('COMPRA-MATERIAL'!A:A,Tabela57[[#This Row],[DATA]],'COMPRA-MATERIAL'!C:C)</f>
        <v>0</v>
      </c>
    </row>
    <row r="28" spans="1:4" x14ac:dyDescent="0.25">
      <c r="A28" s="8" t="str">
        <f t="shared" si="1"/>
        <v>janeiro</v>
      </c>
      <c r="B28" s="8">
        <v>46048</v>
      </c>
      <c r="C28">
        <f>SUMIF(AGENDA!B:B,Tabela57[DATA],AGENDA!L:L)+SUMIF(AGENDA!A:A,Tabela57[DATA],AGENDA!N:N)</f>
        <v>0</v>
      </c>
      <c r="D28" s="12">
        <f>SUMIF('FLUXO DE CAIXA'!A:A,Tabela57[[#This Row],[DATA]],FUNCIONÁRIOS!E:E)+SUMIF('COMPRA-MATERIAL'!A:A,Tabela57[[#This Row],[DATA]],'COMPRA-MATERIAL'!C:C)</f>
        <v>0</v>
      </c>
    </row>
    <row r="29" spans="1:4" x14ac:dyDescent="0.25">
      <c r="A29" s="8" t="str">
        <f t="shared" si="1"/>
        <v>janeiro</v>
      </c>
      <c r="B29" s="8">
        <v>46049</v>
      </c>
      <c r="C29">
        <f>SUMIF(AGENDA!B:B,Tabela57[DATA],AGENDA!L:L)+SUMIF(AGENDA!A:A,Tabela57[DATA],AGENDA!N:N)</f>
        <v>0</v>
      </c>
      <c r="D29" s="12">
        <f>SUMIF('FLUXO DE CAIXA'!A:A,Tabela57[[#This Row],[DATA]],FUNCIONÁRIOS!E:E)+SUMIF('COMPRA-MATERIAL'!A:A,Tabela57[[#This Row],[DATA]],'COMPRA-MATERIAL'!C:C)</f>
        <v>0</v>
      </c>
    </row>
    <row r="30" spans="1:4" x14ac:dyDescent="0.25">
      <c r="A30" s="8" t="str">
        <f t="shared" si="1"/>
        <v>janeiro</v>
      </c>
      <c r="B30" s="8">
        <v>46050</v>
      </c>
      <c r="C30">
        <f>SUMIF(AGENDA!B:B,Tabela57[DATA],AGENDA!L:L)+SUMIF(AGENDA!A:A,Tabela57[DATA],AGENDA!N:N)</f>
        <v>0</v>
      </c>
      <c r="D30" s="12">
        <f>SUMIF('FLUXO DE CAIXA'!A:A,Tabela57[[#This Row],[DATA]],FUNCIONÁRIOS!E:E)+SUMIF('COMPRA-MATERIAL'!A:A,Tabela57[[#This Row],[DATA]],'COMPRA-MATERIAL'!C:C)</f>
        <v>0</v>
      </c>
    </row>
    <row r="31" spans="1:4" x14ac:dyDescent="0.25">
      <c r="A31" s="8" t="str">
        <f t="shared" si="1"/>
        <v>janeiro</v>
      </c>
      <c r="B31" s="8">
        <v>46051</v>
      </c>
      <c r="C31">
        <f>SUMIF(AGENDA!B:B,Tabela57[DATA],AGENDA!L:L)+SUMIF(AGENDA!A:A,Tabela57[DATA],AGENDA!N:N)</f>
        <v>0</v>
      </c>
      <c r="D31" s="12">
        <f>SUMIF('FLUXO DE CAIXA'!A:A,Tabela57[[#This Row],[DATA]],FUNCIONÁRIOS!E:E)+SUMIF('COMPRA-MATERIAL'!A:A,Tabela57[[#This Row],[DATA]],'COMPRA-MATERIAL'!C:C)</f>
        <v>0</v>
      </c>
    </row>
    <row r="32" spans="1:4" x14ac:dyDescent="0.25">
      <c r="A32" s="8" t="str">
        <f t="shared" si="1"/>
        <v>janeiro</v>
      </c>
      <c r="B32" s="8">
        <v>46052</v>
      </c>
      <c r="C32">
        <f>SUMIF(AGENDA!B:B,Tabela57[DATA],AGENDA!L:L)+SUMIF(AGENDA!A:A,Tabela57[DATA],AGENDA!N:N)</f>
        <v>0</v>
      </c>
      <c r="D32" s="12">
        <f>SUMIF('FLUXO DE CAIXA'!A:A,Tabela57[[#This Row],[DATA]],FUNCIONÁRIOS!E:E)+SUMIF('COMPRA-MATERIAL'!A:A,Tabela57[[#This Row],[DATA]],'COMPRA-MATERIAL'!C:C)</f>
        <v>0</v>
      </c>
    </row>
    <row r="33" spans="1:4" x14ac:dyDescent="0.25">
      <c r="A33" s="8" t="str">
        <f t="shared" si="1"/>
        <v>janeiro</v>
      </c>
      <c r="B33" s="8">
        <v>46053</v>
      </c>
      <c r="C33">
        <f>SUMIF(AGENDA!B:B,Tabela57[DATA],AGENDA!L:L)+SUMIF(AGENDA!A:A,Tabela57[DATA],AGENDA!N:N)</f>
        <v>0</v>
      </c>
      <c r="D33" s="12">
        <f>SUMIF('FLUXO DE CAIXA'!A:A,Tabela57[[#This Row],[DATA]],FUNCIONÁRIOS!E:E)+SUMIF('COMPRA-MATERIAL'!A:A,Tabela57[[#This Row],[DATA]],'COMPRA-MATERIAL'!C:C)</f>
        <v>0</v>
      </c>
    </row>
    <row r="34" spans="1:4" x14ac:dyDescent="0.25">
      <c r="A34" s="8" t="str">
        <f t="shared" si="1"/>
        <v>fevereiro</v>
      </c>
      <c r="B34" s="8">
        <v>46054</v>
      </c>
      <c r="C34">
        <f>SUMIF(AGENDA!B:B,Tabela57[DATA],AGENDA!L:L)+SUMIF(AGENDA!A:A,Tabela57[DATA],AGENDA!N:N)</f>
        <v>0</v>
      </c>
      <c r="D34" s="12">
        <f>SUMIF('FLUXO DE CAIXA'!A:A,Tabela57[[#This Row],[DATA]],FUNCIONÁRIOS!E:E)+SUMIF('COMPRA-MATERIAL'!A:A,Tabela57[[#This Row],[DATA]],'COMPRA-MATERIAL'!C:C)</f>
        <v>0</v>
      </c>
    </row>
    <row r="35" spans="1:4" x14ac:dyDescent="0.25">
      <c r="A35" s="8" t="str">
        <f t="shared" si="1"/>
        <v>fevereiro</v>
      </c>
      <c r="B35" s="8">
        <v>46055</v>
      </c>
      <c r="C35">
        <f>SUMIF(AGENDA!B:B,Tabela57[DATA],AGENDA!L:L)+SUMIF(AGENDA!A:A,Tabela57[DATA],AGENDA!N:N)</f>
        <v>0</v>
      </c>
      <c r="D35" s="12">
        <f>SUMIF('FLUXO DE CAIXA'!A:A,Tabela57[[#This Row],[DATA]],FUNCIONÁRIOS!E:E)+SUMIF('COMPRA-MATERIAL'!A:A,Tabela57[[#This Row],[DATA]],'COMPRA-MATERIAL'!C:C)</f>
        <v>0</v>
      </c>
    </row>
    <row r="36" spans="1:4" x14ac:dyDescent="0.25">
      <c r="A36" s="8" t="str">
        <f t="shared" si="1"/>
        <v>fevereiro</v>
      </c>
      <c r="B36" s="8">
        <v>46056</v>
      </c>
      <c r="C36">
        <f>SUMIF(AGENDA!B:B,Tabela57[DATA],AGENDA!L:L)+SUMIF(AGENDA!A:A,Tabela57[DATA],AGENDA!N:N)</f>
        <v>0</v>
      </c>
      <c r="D36" s="12">
        <f>SUMIF('FLUXO DE CAIXA'!A:A,Tabela57[[#This Row],[DATA]],FUNCIONÁRIOS!E:E)+SUMIF('COMPRA-MATERIAL'!A:A,Tabela57[[#This Row],[DATA]],'COMPRA-MATERIAL'!C:C)</f>
        <v>0</v>
      </c>
    </row>
    <row r="37" spans="1:4" x14ac:dyDescent="0.25">
      <c r="A37" s="8" t="str">
        <f t="shared" si="1"/>
        <v>fevereiro</v>
      </c>
      <c r="B37" s="8">
        <v>46057</v>
      </c>
      <c r="C37">
        <f>SUMIF(AGENDA!B:B,Tabela57[DATA],AGENDA!L:L)+SUMIF(AGENDA!A:A,Tabela57[DATA],AGENDA!N:N)</f>
        <v>0</v>
      </c>
      <c r="D37" s="12">
        <f>SUMIF('FLUXO DE CAIXA'!A:A,Tabela57[[#This Row],[DATA]],FUNCIONÁRIOS!E:E)+SUMIF('COMPRA-MATERIAL'!A:A,Tabela57[[#This Row],[DATA]],'COMPRA-MATERIAL'!C:C)</f>
        <v>0</v>
      </c>
    </row>
    <row r="38" spans="1:4" x14ac:dyDescent="0.25">
      <c r="A38" s="8" t="str">
        <f t="shared" si="1"/>
        <v>fevereiro</v>
      </c>
      <c r="B38" s="8">
        <v>46058</v>
      </c>
      <c r="C38">
        <f>SUMIF(AGENDA!B:B,Tabela57[DATA],AGENDA!L:L)+SUMIF(AGENDA!A:A,Tabela57[DATA],AGENDA!N:N)</f>
        <v>0</v>
      </c>
      <c r="D38" s="12">
        <f>SUMIF('FLUXO DE CAIXA'!A:A,Tabela57[[#This Row],[DATA]],FUNCIONÁRIOS!E:E)+SUMIF('COMPRA-MATERIAL'!A:A,Tabela57[[#This Row],[DATA]],'COMPRA-MATERIAL'!C:C)</f>
        <v>0</v>
      </c>
    </row>
    <row r="39" spans="1:4" x14ac:dyDescent="0.25">
      <c r="A39" s="8" t="str">
        <f t="shared" si="1"/>
        <v>fevereiro</v>
      </c>
      <c r="B39" s="8">
        <v>46059</v>
      </c>
      <c r="C39">
        <f>SUMIF(AGENDA!B:B,Tabela57[DATA],AGENDA!L:L)+SUMIF(AGENDA!A:A,Tabela57[DATA],AGENDA!N:N)</f>
        <v>0</v>
      </c>
      <c r="D39" s="12">
        <f>SUMIF('FLUXO DE CAIXA'!A:A,Tabela57[[#This Row],[DATA]],FUNCIONÁRIOS!E:E)+SUMIF('COMPRA-MATERIAL'!A:A,Tabela57[[#This Row],[DATA]],'COMPRA-MATERIAL'!C:C)</f>
        <v>0</v>
      </c>
    </row>
    <row r="40" spans="1:4" x14ac:dyDescent="0.25">
      <c r="A40" s="8" t="str">
        <f t="shared" si="1"/>
        <v>fevereiro</v>
      </c>
      <c r="B40" s="8">
        <v>46060</v>
      </c>
      <c r="C40">
        <f>SUMIF(AGENDA!B:B,Tabela57[DATA],AGENDA!L:L)+SUMIF(AGENDA!A:A,Tabela57[DATA],AGENDA!N:N)</f>
        <v>0</v>
      </c>
      <c r="D40" s="12">
        <f>SUMIF('FLUXO DE CAIXA'!A:A,Tabela57[[#This Row],[DATA]],FUNCIONÁRIOS!E:E)+SUMIF('COMPRA-MATERIAL'!A:A,Tabela57[[#This Row],[DATA]],'COMPRA-MATERIAL'!C:C)</f>
        <v>0</v>
      </c>
    </row>
    <row r="41" spans="1:4" x14ac:dyDescent="0.25">
      <c r="A41" s="8" t="str">
        <f t="shared" si="1"/>
        <v>fevereiro</v>
      </c>
      <c r="B41" s="8">
        <v>46061</v>
      </c>
      <c r="C41">
        <f>SUMIF(AGENDA!B:B,Tabela57[DATA],AGENDA!L:L)+SUMIF(AGENDA!A:A,Tabela57[DATA],AGENDA!N:N)</f>
        <v>0</v>
      </c>
      <c r="D41" s="12">
        <f>SUMIF('FLUXO DE CAIXA'!A:A,Tabela57[[#This Row],[DATA]],FUNCIONÁRIOS!E:E)+SUMIF('COMPRA-MATERIAL'!A:A,Tabela57[[#This Row],[DATA]],'COMPRA-MATERIAL'!C:C)</f>
        <v>0</v>
      </c>
    </row>
    <row r="42" spans="1:4" x14ac:dyDescent="0.25">
      <c r="A42" s="8" t="str">
        <f t="shared" si="1"/>
        <v>fevereiro</v>
      </c>
      <c r="B42" s="8">
        <v>46062</v>
      </c>
      <c r="C42">
        <f>SUMIF(AGENDA!B:B,Tabela57[DATA],AGENDA!L:L)+SUMIF(AGENDA!A:A,Tabela57[DATA],AGENDA!N:N)</f>
        <v>0</v>
      </c>
      <c r="D42" s="12">
        <f>SUMIF('FLUXO DE CAIXA'!A:A,Tabela57[[#This Row],[DATA]],FUNCIONÁRIOS!E:E)+SUMIF('COMPRA-MATERIAL'!A:A,Tabela57[[#This Row],[DATA]],'COMPRA-MATERIAL'!C:C)</f>
        <v>0</v>
      </c>
    </row>
    <row r="43" spans="1:4" x14ac:dyDescent="0.25">
      <c r="A43" s="8" t="str">
        <f t="shared" si="1"/>
        <v>fevereiro</v>
      </c>
      <c r="B43" s="8">
        <v>46063</v>
      </c>
      <c r="C43">
        <f>SUMIF(AGENDA!B:B,Tabela57[DATA],AGENDA!L:L)+SUMIF(AGENDA!A:A,Tabela57[DATA],AGENDA!N:N)</f>
        <v>0</v>
      </c>
      <c r="D43" s="12">
        <f>SUMIF('FLUXO DE CAIXA'!A:A,Tabela57[[#This Row],[DATA]],FUNCIONÁRIOS!E:E)+SUMIF('COMPRA-MATERIAL'!A:A,Tabela57[[#This Row],[DATA]],'COMPRA-MATERIAL'!C:C)</f>
        <v>0</v>
      </c>
    </row>
    <row r="44" spans="1:4" x14ac:dyDescent="0.25">
      <c r="A44" s="8" t="str">
        <f t="shared" si="1"/>
        <v>fevereiro</v>
      </c>
      <c r="B44" s="8">
        <v>46064</v>
      </c>
      <c r="C44">
        <f>SUMIF(AGENDA!B:B,Tabela57[DATA],AGENDA!L:L)+SUMIF(AGENDA!A:A,Tabela57[DATA],AGENDA!N:N)</f>
        <v>0</v>
      </c>
      <c r="D44" s="12">
        <f>SUMIF('FLUXO DE CAIXA'!A:A,Tabela57[[#This Row],[DATA]],FUNCIONÁRIOS!E:E)+SUMIF('COMPRA-MATERIAL'!A:A,Tabela57[[#This Row],[DATA]],'COMPRA-MATERIAL'!C:C)</f>
        <v>0</v>
      </c>
    </row>
    <row r="45" spans="1:4" x14ac:dyDescent="0.25">
      <c r="A45" s="8" t="str">
        <f t="shared" si="1"/>
        <v>fevereiro</v>
      </c>
      <c r="B45" s="8">
        <v>46065</v>
      </c>
      <c r="C45">
        <f>SUMIF(AGENDA!B:B,Tabela57[DATA],AGENDA!L:L)+SUMIF(AGENDA!A:A,Tabela57[DATA],AGENDA!N:N)</f>
        <v>0</v>
      </c>
      <c r="D45" s="12">
        <f>SUMIF('FLUXO DE CAIXA'!A:A,Tabela57[[#This Row],[DATA]],FUNCIONÁRIOS!E:E)+SUMIF('COMPRA-MATERIAL'!A:A,Tabela57[[#This Row],[DATA]],'COMPRA-MATERIAL'!C:C)</f>
        <v>0</v>
      </c>
    </row>
    <row r="46" spans="1:4" x14ac:dyDescent="0.25">
      <c r="A46" s="8" t="str">
        <f t="shared" si="1"/>
        <v>fevereiro</v>
      </c>
      <c r="B46" s="8">
        <v>46066</v>
      </c>
      <c r="C46">
        <f>SUMIF(AGENDA!B:B,Tabela57[DATA],AGENDA!L:L)+SUMIF(AGENDA!A:A,Tabela57[DATA],AGENDA!N:N)</f>
        <v>0</v>
      </c>
      <c r="D46" s="12">
        <f>SUMIF('FLUXO DE CAIXA'!A:A,Tabela57[[#This Row],[DATA]],FUNCIONÁRIOS!E:E)+SUMIF('COMPRA-MATERIAL'!A:A,Tabela57[[#This Row],[DATA]],'COMPRA-MATERIAL'!C:C)</f>
        <v>0</v>
      </c>
    </row>
    <row r="47" spans="1:4" x14ac:dyDescent="0.25">
      <c r="A47" s="8" t="str">
        <f t="shared" si="1"/>
        <v>fevereiro</v>
      </c>
      <c r="B47" s="8">
        <v>46067</v>
      </c>
      <c r="C47">
        <f>SUMIF(AGENDA!B:B,Tabela57[DATA],AGENDA!L:L)+SUMIF(AGENDA!A:A,Tabela57[DATA],AGENDA!N:N)</f>
        <v>0</v>
      </c>
      <c r="D47" s="12">
        <f>SUMIF('FLUXO DE CAIXA'!A:A,Tabela57[[#This Row],[DATA]],FUNCIONÁRIOS!E:E)+SUMIF('COMPRA-MATERIAL'!A:A,Tabela57[[#This Row],[DATA]],'COMPRA-MATERIAL'!C:C)</f>
        <v>0</v>
      </c>
    </row>
    <row r="48" spans="1:4" x14ac:dyDescent="0.25">
      <c r="A48" s="8" t="str">
        <f t="shared" si="1"/>
        <v>fevereiro</v>
      </c>
      <c r="B48" s="8">
        <v>46068</v>
      </c>
      <c r="C48">
        <f>SUMIF(AGENDA!B:B,Tabela57[DATA],AGENDA!L:L)+SUMIF(AGENDA!A:A,Tabela57[DATA],AGENDA!N:N)</f>
        <v>0</v>
      </c>
      <c r="D48" s="12">
        <f>SUMIF('FLUXO DE CAIXA'!A:A,Tabela57[[#This Row],[DATA]],FUNCIONÁRIOS!E:E)+SUMIF('COMPRA-MATERIAL'!A:A,Tabela57[[#This Row],[DATA]],'COMPRA-MATERIAL'!C:C)</f>
        <v>0</v>
      </c>
    </row>
    <row r="49" spans="1:4" x14ac:dyDescent="0.25">
      <c r="A49" s="8" t="str">
        <f t="shared" si="1"/>
        <v>fevereiro</v>
      </c>
      <c r="B49" s="8">
        <v>46069</v>
      </c>
      <c r="C49">
        <f>SUMIF(AGENDA!B:B,Tabela57[DATA],AGENDA!L:L)+SUMIF(AGENDA!A:A,Tabela57[DATA],AGENDA!N:N)</f>
        <v>0</v>
      </c>
      <c r="D49" s="12">
        <f>SUMIF('FLUXO DE CAIXA'!A:A,Tabela57[[#This Row],[DATA]],FUNCIONÁRIOS!E:E)+SUMIF('COMPRA-MATERIAL'!A:A,Tabela57[[#This Row],[DATA]],'COMPRA-MATERIAL'!C:C)</f>
        <v>0</v>
      </c>
    </row>
    <row r="50" spans="1:4" x14ac:dyDescent="0.25">
      <c r="A50" s="8" t="str">
        <f t="shared" si="1"/>
        <v>fevereiro</v>
      </c>
      <c r="B50" s="8">
        <v>46070</v>
      </c>
      <c r="C50">
        <f>SUMIF(AGENDA!B:B,Tabela57[DATA],AGENDA!L:L)+SUMIF(AGENDA!A:A,Tabela57[DATA],AGENDA!N:N)</f>
        <v>0</v>
      </c>
      <c r="D50" s="12">
        <f>SUMIF('FLUXO DE CAIXA'!A:A,Tabela57[[#This Row],[DATA]],FUNCIONÁRIOS!E:E)+SUMIF('COMPRA-MATERIAL'!A:A,Tabela57[[#This Row],[DATA]],'COMPRA-MATERIAL'!C:C)</f>
        <v>0</v>
      </c>
    </row>
    <row r="51" spans="1:4" x14ac:dyDescent="0.25">
      <c r="A51" s="8" t="str">
        <f t="shared" si="1"/>
        <v>fevereiro</v>
      </c>
      <c r="B51" s="8">
        <v>46071</v>
      </c>
      <c r="C51">
        <f>SUMIF(AGENDA!B:B,Tabela57[DATA],AGENDA!L:L)+SUMIF(AGENDA!A:A,Tabela57[DATA],AGENDA!N:N)</f>
        <v>0</v>
      </c>
      <c r="D51" s="12">
        <f>SUMIF('FLUXO DE CAIXA'!A:A,Tabela57[[#This Row],[DATA]],FUNCIONÁRIOS!E:E)+SUMIF('COMPRA-MATERIAL'!A:A,Tabela57[[#This Row],[DATA]],'COMPRA-MATERIAL'!C:C)</f>
        <v>0</v>
      </c>
    </row>
    <row r="52" spans="1:4" x14ac:dyDescent="0.25">
      <c r="A52" s="8" t="str">
        <f t="shared" si="1"/>
        <v>fevereiro</v>
      </c>
      <c r="B52" s="8">
        <v>46072</v>
      </c>
      <c r="C52">
        <f>SUMIF(AGENDA!B:B,Tabela57[DATA],AGENDA!L:L)+SUMIF(AGENDA!A:A,Tabela57[DATA],AGENDA!N:N)</f>
        <v>0</v>
      </c>
      <c r="D52" s="12">
        <f>SUMIF('FLUXO DE CAIXA'!A:A,Tabela57[[#This Row],[DATA]],FUNCIONÁRIOS!E:E)+SUMIF('COMPRA-MATERIAL'!A:A,Tabela57[[#This Row],[DATA]],'COMPRA-MATERIAL'!C:C)</f>
        <v>0</v>
      </c>
    </row>
    <row r="53" spans="1:4" x14ac:dyDescent="0.25">
      <c r="A53" s="8" t="str">
        <f t="shared" si="1"/>
        <v>fevereiro</v>
      </c>
      <c r="B53" s="8">
        <v>46073</v>
      </c>
      <c r="C53">
        <f>SUMIF(AGENDA!B:B,Tabela57[DATA],AGENDA!L:L)+SUMIF(AGENDA!A:A,Tabela57[DATA],AGENDA!N:N)</f>
        <v>0</v>
      </c>
      <c r="D53" s="12">
        <f>SUMIF('FLUXO DE CAIXA'!A:A,Tabela57[[#This Row],[DATA]],FUNCIONÁRIOS!E:E)+SUMIF('COMPRA-MATERIAL'!A:A,Tabela57[[#This Row],[DATA]],'COMPRA-MATERIAL'!C:C)</f>
        <v>0</v>
      </c>
    </row>
    <row r="54" spans="1:4" x14ac:dyDescent="0.25">
      <c r="A54" s="8" t="str">
        <f t="shared" si="1"/>
        <v>fevereiro</v>
      </c>
      <c r="B54" s="8">
        <v>46074</v>
      </c>
      <c r="C54">
        <f>SUMIF(AGENDA!B:B,Tabela57[DATA],AGENDA!L:L)+SUMIF(AGENDA!A:A,Tabela57[DATA],AGENDA!N:N)</f>
        <v>0</v>
      </c>
      <c r="D54" s="12">
        <f>SUMIF('FLUXO DE CAIXA'!A:A,Tabela57[[#This Row],[DATA]],FUNCIONÁRIOS!E:E)+SUMIF('COMPRA-MATERIAL'!A:A,Tabela57[[#This Row],[DATA]],'COMPRA-MATERIAL'!C:C)</f>
        <v>0</v>
      </c>
    </row>
    <row r="55" spans="1:4" x14ac:dyDescent="0.25">
      <c r="A55" s="8" t="str">
        <f t="shared" si="1"/>
        <v>fevereiro</v>
      </c>
      <c r="B55" s="8">
        <v>46075</v>
      </c>
      <c r="C55">
        <f>SUMIF(AGENDA!B:B,Tabela57[DATA],AGENDA!L:L)+SUMIF(AGENDA!A:A,Tabela57[DATA],AGENDA!N:N)</f>
        <v>0</v>
      </c>
      <c r="D55" s="12">
        <f>SUMIF('FLUXO DE CAIXA'!A:A,Tabela57[[#This Row],[DATA]],FUNCIONÁRIOS!E:E)+SUMIF('COMPRA-MATERIAL'!A:A,Tabela57[[#This Row],[DATA]],'COMPRA-MATERIAL'!C:C)</f>
        <v>0</v>
      </c>
    </row>
    <row r="56" spans="1:4" x14ac:dyDescent="0.25">
      <c r="A56" s="8" t="str">
        <f t="shared" si="1"/>
        <v>fevereiro</v>
      </c>
      <c r="B56" s="8">
        <v>46076</v>
      </c>
      <c r="C56">
        <f>SUMIF(AGENDA!B:B,Tabela57[DATA],AGENDA!L:L)+SUMIF(AGENDA!A:A,Tabela57[DATA],AGENDA!N:N)</f>
        <v>0</v>
      </c>
      <c r="D56" s="12">
        <f>SUMIF('FLUXO DE CAIXA'!A:A,Tabela57[[#This Row],[DATA]],FUNCIONÁRIOS!E:E)+SUMIF('COMPRA-MATERIAL'!A:A,Tabela57[[#This Row],[DATA]],'COMPRA-MATERIAL'!C:C)</f>
        <v>0</v>
      </c>
    </row>
    <row r="57" spans="1:4" x14ac:dyDescent="0.25">
      <c r="A57" s="8" t="str">
        <f t="shared" si="1"/>
        <v>fevereiro</v>
      </c>
      <c r="B57" s="8">
        <v>46077</v>
      </c>
      <c r="C57">
        <f>SUMIF(AGENDA!B:B,Tabela57[DATA],AGENDA!L:L)+SUMIF(AGENDA!A:A,Tabela57[DATA],AGENDA!N:N)</f>
        <v>0</v>
      </c>
      <c r="D57" s="12">
        <f>SUMIF('FLUXO DE CAIXA'!A:A,Tabela57[[#This Row],[DATA]],FUNCIONÁRIOS!E:E)+SUMIF('COMPRA-MATERIAL'!A:A,Tabela57[[#This Row],[DATA]],'COMPRA-MATERIAL'!C:C)</f>
        <v>0</v>
      </c>
    </row>
    <row r="58" spans="1:4" x14ac:dyDescent="0.25">
      <c r="A58" s="8" t="str">
        <f t="shared" si="1"/>
        <v>fevereiro</v>
      </c>
      <c r="B58" s="8">
        <v>46078</v>
      </c>
      <c r="C58">
        <f>SUMIF(AGENDA!B:B,Tabela57[DATA],AGENDA!L:L)+SUMIF(AGENDA!A:A,Tabela57[DATA],AGENDA!N:N)</f>
        <v>0</v>
      </c>
      <c r="D58" s="12">
        <f>SUMIF('FLUXO DE CAIXA'!A:A,Tabela57[[#This Row],[DATA]],FUNCIONÁRIOS!E:E)+SUMIF('COMPRA-MATERIAL'!A:A,Tabela57[[#This Row],[DATA]],'COMPRA-MATERIAL'!C:C)</f>
        <v>0</v>
      </c>
    </row>
    <row r="59" spans="1:4" x14ac:dyDescent="0.25">
      <c r="A59" s="8" t="str">
        <f t="shared" si="1"/>
        <v>fevereiro</v>
      </c>
      <c r="B59" s="8">
        <v>46079</v>
      </c>
      <c r="C59">
        <f>SUMIF(AGENDA!B:B,Tabela57[DATA],AGENDA!L:L)+SUMIF(AGENDA!A:A,Tabela57[DATA],AGENDA!N:N)</f>
        <v>0</v>
      </c>
      <c r="D59" s="12">
        <f>SUMIF('FLUXO DE CAIXA'!A:A,Tabela57[[#This Row],[DATA]],FUNCIONÁRIOS!E:E)+SUMIF('COMPRA-MATERIAL'!A:A,Tabela57[[#This Row],[DATA]],'COMPRA-MATERIAL'!C:C)</f>
        <v>0</v>
      </c>
    </row>
    <row r="60" spans="1:4" x14ac:dyDescent="0.25">
      <c r="A60" s="8" t="str">
        <f t="shared" si="1"/>
        <v>fevereiro</v>
      </c>
      <c r="B60" s="8">
        <v>46080</v>
      </c>
      <c r="C60">
        <f>SUMIF(AGENDA!B:B,Tabela57[DATA],AGENDA!L:L)+SUMIF(AGENDA!A:A,Tabela57[DATA],AGENDA!N:N)</f>
        <v>0</v>
      </c>
      <c r="D60" s="12">
        <f>SUMIF('FLUXO DE CAIXA'!A:A,Tabela57[[#This Row],[DATA]],FUNCIONÁRIOS!E:E)+SUMIF('COMPRA-MATERIAL'!A:A,Tabela57[[#This Row],[DATA]],'COMPRA-MATERIAL'!C:C)</f>
        <v>0</v>
      </c>
    </row>
    <row r="61" spans="1:4" x14ac:dyDescent="0.25">
      <c r="A61" s="8" t="str">
        <f t="shared" si="1"/>
        <v>fevereiro</v>
      </c>
      <c r="B61" s="8">
        <v>46081</v>
      </c>
      <c r="C61">
        <f>SUMIF(AGENDA!B:B,Tabela57[DATA],AGENDA!L:L)+SUMIF(AGENDA!A:A,Tabela57[DATA],AGENDA!N:N)</f>
        <v>0</v>
      </c>
      <c r="D61" s="12">
        <f>SUMIF('FLUXO DE CAIXA'!A:A,Tabela57[[#This Row],[DATA]],FUNCIONÁRIOS!E:E)+SUMIF('COMPRA-MATERIAL'!A:A,Tabela57[[#This Row],[DATA]],'COMPRA-MATERIAL'!C:C)</f>
        <v>0</v>
      </c>
    </row>
    <row r="62" spans="1:4" x14ac:dyDescent="0.25">
      <c r="A62" s="8" t="str">
        <f t="shared" si="1"/>
        <v>março</v>
      </c>
      <c r="B62" s="8">
        <v>46082</v>
      </c>
      <c r="C62">
        <f>SUMIF(AGENDA!B:B,Tabela57[DATA],AGENDA!L:L)+SUMIF(AGENDA!A:A,Tabela57[DATA],AGENDA!N:N)</f>
        <v>0</v>
      </c>
      <c r="D62" s="12">
        <f>SUMIF('FLUXO DE CAIXA'!A:A,Tabela57[[#This Row],[DATA]],FUNCIONÁRIOS!E:E)+SUMIF('COMPRA-MATERIAL'!A:A,Tabela57[[#This Row],[DATA]],'COMPRA-MATERIAL'!C:C)</f>
        <v>0</v>
      </c>
    </row>
    <row r="63" spans="1:4" x14ac:dyDescent="0.25">
      <c r="A63" s="8" t="str">
        <f t="shared" si="1"/>
        <v>março</v>
      </c>
      <c r="B63" s="8">
        <v>46083</v>
      </c>
      <c r="C63">
        <f>SUMIF(AGENDA!B:B,Tabela57[DATA],AGENDA!L:L)+SUMIF(AGENDA!A:A,Tabela57[DATA],AGENDA!N:N)</f>
        <v>0</v>
      </c>
      <c r="D63" s="12">
        <f>SUMIF('FLUXO DE CAIXA'!A:A,Tabela57[[#This Row],[DATA]],FUNCIONÁRIOS!E:E)+SUMIF('COMPRA-MATERIAL'!A:A,Tabela57[[#This Row],[DATA]],'COMPRA-MATERIAL'!C:C)</f>
        <v>0</v>
      </c>
    </row>
    <row r="64" spans="1:4" x14ac:dyDescent="0.25">
      <c r="A64" s="8" t="str">
        <f t="shared" si="1"/>
        <v>março</v>
      </c>
      <c r="B64" s="8">
        <v>46084</v>
      </c>
      <c r="C64">
        <f>SUMIF(AGENDA!B:B,Tabela57[DATA],AGENDA!L:L)+SUMIF(AGENDA!A:A,Tabela57[DATA],AGENDA!N:N)</f>
        <v>0</v>
      </c>
      <c r="D64" s="12">
        <f>SUMIF('FLUXO DE CAIXA'!A:A,Tabela57[[#This Row],[DATA]],FUNCIONÁRIOS!E:E)+SUMIF('COMPRA-MATERIAL'!A:A,Tabela57[[#This Row],[DATA]],'COMPRA-MATERIAL'!C:C)</f>
        <v>0</v>
      </c>
    </row>
    <row r="65" spans="1:4" x14ac:dyDescent="0.25">
      <c r="A65" s="8" t="str">
        <f t="shared" si="1"/>
        <v>março</v>
      </c>
      <c r="B65" s="8">
        <v>46085</v>
      </c>
      <c r="C65">
        <f>SUMIF(AGENDA!B:B,Tabela57[DATA],AGENDA!L:L)+SUMIF(AGENDA!A:A,Tabela57[DATA],AGENDA!N:N)</f>
        <v>0</v>
      </c>
      <c r="D65" s="12">
        <f>SUMIF('FLUXO DE CAIXA'!A:A,Tabela57[[#This Row],[DATA]],FUNCIONÁRIOS!E:E)+SUMIF('COMPRA-MATERIAL'!A:A,Tabela57[[#This Row],[DATA]],'COMPRA-MATERIAL'!C:C)</f>
        <v>0</v>
      </c>
    </row>
    <row r="66" spans="1:4" x14ac:dyDescent="0.25">
      <c r="A66" s="8" t="str">
        <f t="shared" si="1"/>
        <v>março</v>
      </c>
      <c r="B66" s="8">
        <v>46086</v>
      </c>
      <c r="C66">
        <f>SUMIF(AGENDA!B:B,Tabela57[DATA],AGENDA!L:L)+SUMIF(AGENDA!A:A,Tabela57[DATA],AGENDA!N:N)</f>
        <v>0</v>
      </c>
      <c r="D66" s="12">
        <f>SUMIF('FLUXO DE CAIXA'!A:A,Tabela57[[#This Row],[DATA]],FUNCIONÁRIOS!E:E)+SUMIF('COMPRA-MATERIAL'!A:A,Tabela57[[#This Row],[DATA]],'COMPRA-MATERIAL'!C:C)</f>
        <v>0</v>
      </c>
    </row>
    <row r="67" spans="1:4" x14ac:dyDescent="0.25">
      <c r="A67" s="8" t="str">
        <f t="shared" si="1"/>
        <v>março</v>
      </c>
      <c r="B67" s="8">
        <v>46087</v>
      </c>
      <c r="C67">
        <f>SUMIF(AGENDA!B:B,Tabela57[DATA],AGENDA!L:L)+SUMIF(AGENDA!A:A,Tabela57[DATA],AGENDA!N:N)</f>
        <v>0</v>
      </c>
      <c r="D67" s="12">
        <f>SUMIF('FLUXO DE CAIXA'!A:A,Tabela57[[#This Row],[DATA]],FUNCIONÁRIOS!E:E)+SUMIF('COMPRA-MATERIAL'!A:A,Tabela57[[#This Row],[DATA]],'COMPRA-MATERIAL'!C:C)</f>
        <v>0</v>
      </c>
    </row>
    <row r="68" spans="1:4" x14ac:dyDescent="0.25">
      <c r="A68" s="8" t="str">
        <f t="shared" si="1"/>
        <v>março</v>
      </c>
      <c r="B68" s="8">
        <v>46088</v>
      </c>
      <c r="C68">
        <f>SUMIF(AGENDA!B:B,Tabela57[DATA],AGENDA!L:L)+SUMIF(AGENDA!A:A,Tabela57[DATA],AGENDA!N:N)</f>
        <v>0</v>
      </c>
      <c r="D68" s="12">
        <f>SUMIF('FLUXO DE CAIXA'!A:A,Tabela57[[#This Row],[DATA]],FUNCIONÁRIOS!E:E)+SUMIF('COMPRA-MATERIAL'!A:A,Tabela57[[#This Row],[DATA]],'COMPRA-MATERIAL'!C:C)</f>
        <v>0</v>
      </c>
    </row>
    <row r="69" spans="1:4" x14ac:dyDescent="0.25">
      <c r="A69" s="8" t="str">
        <f t="shared" si="1"/>
        <v>março</v>
      </c>
      <c r="B69" s="8">
        <v>46089</v>
      </c>
      <c r="C69">
        <f>SUMIF(AGENDA!B:B,Tabela57[DATA],AGENDA!L:L)+SUMIF(AGENDA!A:A,Tabela57[DATA],AGENDA!N:N)</f>
        <v>0</v>
      </c>
      <c r="D69" s="12">
        <f>SUMIF('FLUXO DE CAIXA'!A:A,Tabela57[[#This Row],[DATA]],FUNCIONÁRIOS!E:E)+SUMIF('COMPRA-MATERIAL'!A:A,Tabela57[[#This Row],[DATA]],'COMPRA-MATERIAL'!C:C)</f>
        <v>0</v>
      </c>
    </row>
    <row r="70" spans="1:4" x14ac:dyDescent="0.25">
      <c r="A70" s="8" t="str">
        <f t="shared" si="1"/>
        <v>março</v>
      </c>
      <c r="B70" s="8">
        <v>46090</v>
      </c>
      <c r="C70">
        <f>SUMIF(AGENDA!B:B,Tabela57[DATA],AGENDA!L:L)+SUMIF(AGENDA!A:A,Tabela57[DATA],AGENDA!N:N)</f>
        <v>0</v>
      </c>
      <c r="D70" s="12">
        <f>SUMIF('FLUXO DE CAIXA'!A:A,Tabela57[[#This Row],[DATA]],FUNCIONÁRIOS!E:E)+SUMIF('COMPRA-MATERIAL'!A:A,Tabela57[[#This Row],[DATA]],'COMPRA-MATERIAL'!C:C)</f>
        <v>0</v>
      </c>
    </row>
    <row r="71" spans="1:4" x14ac:dyDescent="0.25">
      <c r="A71" s="8" t="str">
        <f t="shared" si="1"/>
        <v>março</v>
      </c>
      <c r="B71" s="8">
        <v>46091</v>
      </c>
      <c r="C71">
        <f>SUMIF(AGENDA!B:B,Tabela57[DATA],AGENDA!L:L)+SUMIF(AGENDA!A:A,Tabela57[DATA],AGENDA!N:N)</f>
        <v>0</v>
      </c>
      <c r="D71" s="12">
        <f>SUMIF('FLUXO DE CAIXA'!A:A,Tabela57[[#This Row],[DATA]],FUNCIONÁRIOS!E:E)+SUMIF('COMPRA-MATERIAL'!A:A,Tabela57[[#This Row],[DATA]],'COMPRA-MATERIAL'!C:C)</f>
        <v>0</v>
      </c>
    </row>
    <row r="72" spans="1:4" x14ac:dyDescent="0.25">
      <c r="A72" s="8" t="str">
        <f t="shared" si="1"/>
        <v>março</v>
      </c>
      <c r="B72" s="8">
        <v>46092</v>
      </c>
      <c r="C72">
        <f>SUMIF(AGENDA!B:B,Tabela57[DATA],AGENDA!L:L)+SUMIF(AGENDA!A:A,Tabela57[DATA],AGENDA!N:N)</f>
        <v>0</v>
      </c>
      <c r="D72" s="12">
        <f>SUMIF('FLUXO DE CAIXA'!A:A,Tabela57[[#This Row],[DATA]],FUNCIONÁRIOS!E:E)+SUMIF('COMPRA-MATERIAL'!A:A,Tabela57[[#This Row],[DATA]],'COMPRA-MATERIAL'!C:C)</f>
        <v>0</v>
      </c>
    </row>
    <row r="73" spans="1:4" x14ac:dyDescent="0.25">
      <c r="A73" s="8" t="str">
        <f t="shared" si="1"/>
        <v>março</v>
      </c>
      <c r="B73" s="8">
        <v>46093</v>
      </c>
      <c r="C73">
        <f>SUMIF(AGENDA!B:B,Tabela57[DATA],AGENDA!L:L)+SUMIF(AGENDA!A:A,Tabela57[DATA],AGENDA!N:N)</f>
        <v>0</v>
      </c>
      <c r="D73" s="12">
        <f>SUMIF('FLUXO DE CAIXA'!A:A,Tabela57[[#This Row],[DATA]],FUNCIONÁRIOS!E:E)+SUMIF('COMPRA-MATERIAL'!A:A,Tabela57[[#This Row],[DATA]],'COMPRA-MATERIAL'!C:C)</f>
        <v>0</v>
      </c>
    </row>
    <row r="74" spans="1:4" x14ac:dyDescent="0.25">
      <c r="A74" s="8" t="str">
        <f t="shared" si="1"/>
        <v>março</v>
      </c>
      <c r="B74" s="8">
        <v>46094</v>
      </c>
      <c r="C74">
        <f>SUMIF(AGENDA!B:B,Tabela57[DATA],AGENDA!L:L)+SUMIF(AGENDA!A:A,Tabela57[DATA],AGENDA!N:N)</f>
        <v>0</v>
      </c>
      <c r="D74" s="12">
        <f>SUMIF('FLUXO DE CAIXA'!A:A,Tabela57[[#This Row],[DATA]],FUNCIONÁRIOS!E:E)+SUMIF('COMPRA-MATERIAL'!A:A,Tabela57[[#This Row],[DATA]],'COMPRA-MATERIAL'!C:C)</f>
        <v>0</v>
      </c>
    </row>
    <row r="75" spans="1:4" x14ac:dyDescent="0.25">
      <c r="A75" s="8" t="str">
        <f t="shared" si="1"/>
        <v>março</v>
      </c>
      <c r="B75" s="8">
        <v>46095</v>
      </c>
      <c r="C75">
        <f>SUMIF(AGENDA!B:B,Tabela57[DATA],AGENDA!L:L)+SUMIF(AGENDA!A:A,Tabela57[DATA],AGENDA!N:N)</f>
        <v>0</v>
      </c>
      <c r="D75" s="12">
        <f>SUMIF('FLUXO DE CAIXA'!A:A,Tabela57[[#This Row],[DATA]],FUNCIONÁRIOS!E:E)+SUMIF('COMPRA-MATERIAL'!A:A,Tabela57[[#This Row],[DATA]],'COMPRA-MATERIAL'!C:C)</f>
        <v>0</v>
      </c>
    </row>
    <row r="76" spans="1:4" x14ac:dyDescent="0.25">
      <c r="A76" s="8" t="str">
        <f t="shared" si="1"/>
        <v>março</v>
      </c>
      <c r="B76" s="8">
        <v>46096</v>
      </c>
      <c r="C76">
        <f>SUMIF(AGENDA!B:B,Tabela57[DATA],AGENDA!L:L)+SUMIF(AGENDA!A:A,Tabela57[DATA],AGENDA!N:N)</f>
        <v>0</v>
      </c>
      <c r="D76" s="12">
        <f>SUMIF('FLUXO DE CAIXA'!A:A,Tabela57[[#This Row],[DATA]],FUNCIONÁRIOS!E:E)+SUMIF('COMPRA-MATERIAL'!A:A,Tabela57[[#This Row],[DATA]],'COMPRA-MATERIAL'!C:C)</f>
        <v>0</v>
      </c>
    </row>
    <row r="77" spans="1:4" x14ac:dyDescent="0.25">
      <c r="A77" s="8" t="str">
        <f t="shared" si="1"/>
        <v>março</v>
      </c>
      <c r="B77" s="8">
        <v>46097</v>
      </c>
      <c r="C77">
        <f>SUMIF(AGENDA!B:B,Tabela57[DATA],AGENDA!L:L)+SUMIF(AGENDA!A:A,Tabela57[DATA],AGENDA!N:N)</f>
        <v>0</v>
      </c>
      <c r="D77" s="12">
        <f>SUMIF('FLUXO DE CAIXA'!A:A,Tabela57[[#This Row],[DATA]],FUNCIONÁRIOS!E:E)+SUMIF('COMPRA-MATERIAL'!A:A,Tabela57[[#This Row],[DATA]],'COMPRA-MATERIAL'!C:C)</f>
        <v>0</v>
      </c>
    </row>
    <row r="78" spans="1:4" x14ac:dyDescent="0.25">
      <c r="A78" s="8" t="str">
        <f t="shared" si="1"/>
        <v>março</v>
      </c>
      <c r="B78" s="8">
        <v>46098</v>
      </c>
      <c r="C78">
        <f>SUMIF(AGENDA!B:B,Tabela57[DATA],AGENDA!L:L)+SUMIF(AGENDA!A:A,Tabela57[DATA],AGENDA!N:N)</f>
        <v>0</v>
      </c>
      <c r="D78" s="12">
        <f>SUMIF('FLUXO DE CAIXA'!A:A,Tabela57[[#This Row],[DATA]],FUNCIONÁRIOS!E:E)+SUMIF('COMPRA-MATERIAL'!A:A,Tabela57[[#This Row],[DATA]],'COMPRA-MATERIAL'!C:C)</f>
        <v>0</v>
      </c>
    </row>
    <row r="79" spans="1:4" x14ac:dyDescent="0.25">
      <c r="A79" s="8" t="str">
        <f t="shared" si="1"/>
        <v>março</v>
      </c>
      <c r="B79" s="8">
        <v>46099</v>
      </c>
      <c r="C79">
        <f>SUMIF(AGENDA!B:B,Tabela57[DATA],AGENDA!L:L)+SUMIF(AGENDA!A:A,Tabela57[DATA],AGENDA!N:N)</f>
        <v>0</v>
      </c>
      <c r="D79" s="12">
        <f>SUMIF('FLUXO DE CAIXA'!A:A,Tabela57[[#This Row],[DATA]],FUNCIONÁRIOS!E:E)+SUMIF('COMPRA-MATERIAL'!A:A,Tabela57[[#This Row],[DATA]],'COMPRA-MATERIAL'!C:C)</f>
        <v>0</v>
      </c>
    </row>
    <row r="80" spans="1:4" x14ac:dyDescent="0.25">
      <c r="A80" s="8" t="str">
        <f t="shared" si="1"/>
        <v>março</v>
      </c>
      <c r="B80" s="8">
        <v>46100</v>
      </c>
      <c r="C80">
        <f>SUMIF(AGENDA!B:B,Tabela57[DATA],AGENDA!L:L)+SUMIF(AGENDA!A:A,Tabela57[DATA],AGENDA!N:N)</f>
        <v>0</v>
      </c>
      <c r="D80" s="12">
        <f>SUMIF('FLUXO DE CAIXA'!A:A,Tabela57[[#This Row],[DATA]],FUNCIONÁRIOS!E:E)+SUMIF('COMPRA-MATERIAL'!A:A,Tabela57[[#This Row],[DATA]],'COMPRA-MATERIAL'!C:C)</f>
        <v>0</v>
      </c>
    </row>
    <row r="81" spans="1:4" x14ac:dyDescent="0.25">
      <c r="A81" s="8" t="str">
        <f t="shared" si="1"/>
        <v>março</v>
      </c>
      <c r="B81" s="8">
        <v>46101</v>
      </c>
      <c r="C81">
        <f>SUMIF(AGENDA!B:B,Tabela57[DATA],AGENDA!L:L)+SUMIF(AGENDA!A:A,Tabela57[DATA],AGENDA!N:N)</f>
        <v>0</v>
      </c>
      <c r="D81" s="12">
        <f>SUMIF('FLUXO DE CAIXA'!A:A,Tabela57[[#This Row],[DATA]],FUNCIONÁRIOS!E:E)+SUMIF('COMPRA-MATERIAL'!A:A,Tabela57[[#This Row],[DATA]],'COMPRA-MATERIAL'!C:C)</f>
        <v>0</v>
      </c>
    </row>
    <row r="82" spans="1:4" x14ac:dyDescent="0.25">
      <c r="A82" s="8" t="str">
        <f t="shared" si="1"/>
        <v>março</v>
      </c>
      <c r="B82" s="8">
        <v>46102</v>
      </c>
      <c r="C82">
        <f>SUMIF(AGENDA!B:B,Tabela57[DATA],AGENDA!L:L)+SUMIF(AGENDA!A:A,Tabela57[DATA],AGENDA!N:N)</f>
        <v>0</v>
      </c>
      <c r="D82" s="12">
        <f>SUMIF('FLUXO DE CAIXA'!A:A,Tabela57[[#This Row],[DATA]],FUNCIONÁRIOS!E:E)+SUMIF('COMPRA-MATERIAL'!A:A,Tabela57[[#This Row],[DATA]],'COMPRA-MATERIAL'!C:C)</f>
        <v>0</v>
      </c>
    </row>
    <row r="83" spans="1:4" x14ac:dyDescent="0.25">
      <c r="A83" s="8" t="str">
        <f t="shared" si="1"/>
        <v>março</v>
      </c>
      <c r="B83" s="8">
        <v>46103</v>
      </c>
      <c r="C83">
        <f>SUMIF(AGENDA!B:B,Tabela57[DATA],AGENDA!L:L)+SUMIF(AGENDA!A:A,Tabela57[DATA],AGENDA!N:N)</f>
        <v>0</v>
      </c>
      <c r="D83" s="12">
        <f>SUMIF('FLUXO DE CAIXA'!A:A,Tabela57[[#This Row],[DATA]],FUNCIONÁRIOS!E:E)+SUMIF('COMPRA-MATERIAL'!A:A,Tabela57[[#This Row],[DATA]],'COMPRA-MATERIAL'!C:C)</f>
        <v>0</v>
      </c>
    </row>
    <row r="84" spans="1:4" x14ac:dyDescent="0.25">
      <c r="A84" s="8" t="str">
        <f t="shared" si="1"/>
        <v>março</v>
      </c>
      <c r="B84" s="8">
        <v>46104</v>
      </c>
      <c r="C84">
        <f>SUMIF(AGENDA!B:B,Tabela57[DATA],AGENDA!L:L)+SUMIF(AGENDA!A:A,Tabela57[DATA],AGENDA!N:N)</f>
        <v>0</v>
      </c>
      <c r="D84" s="12">
        <f>SUMIF('FLUXO DE CAIXA'!A:A,Tabela57[[#This Row],[DATA]],FUNCIONÁRIOS!E:E)+SUMIF('COMPRA-MATERIAL'!A:A,Tabela57[[#This Row],[DATA]],'COMPRA-MATERIAL'!C:C)</f>
        <v>0</v>
      </c>
    </row>
    <row r="85" spans="1:4" x14ac:dyDescent="0.25">
      <c r="A85" s="8" t="str">
        <f t="shared" si="1"/>
        <v>março</v>
      </c>
      <c r="B85" s="8">
        <v>46105</v>
      </c>
      <c r="C85">
        <f>SUMIF(AGENDA!B:B,Tabela57[DATA],AGENDA!L:L)+SUMIF(AGENDA!A:A,Tabela57[DATA],AGENDA!N:N)</f>
        <v>0</v>
      </c>
      <c r="D85" s="12">
        <f>SUMIF('FLUXO DE CAIXA'!A:A,Tabela57[[#This Row],[DATA]],FUNCIONÁRIOS!E:E)+SUMIF('COMPRA-MATERIAL'!A:A,Tabela57[[#This Row],[DATA]],'COMPRA-MATERIAL'!C:C)</f>
        <v>0</v>
      </c>
    </row>
    <row r="86" spans="1:4" x14ac:dyDescent="0.25">
      <c r="A86" s="8" t="str">
        <f t="shared" ref="A86:A149" si="2">TEXT(B86,"MMMM")</f>
        <v>março</v>
      </c>
      <c r="B86" s="8">
        <v>46106</v>
      </c>
      <c r="C86">
        <f>SUMIF(AGENDA!B:B,Tabela57[DATA],AGENDA!L:L)+SUMIF(AGENDA!A:A,Tabela57[DATA],AGENDA!N:N)</f>
        <v>0</v>
      </c>
      <c r="D86" s="12">
        <f>SUMIF('FLUXO DE CAIXA'!A:A,Tabela57[[#This Row],[DATA]],FUNCIONÁRIOS!E:E)+SUMIF('COMPRA-MATERIAL'!A:A,Tabela57[[#This Row],[DATA]],'COMPRA-MATERIAL'!C:C)</f>
        <v>0</v>
      </c>
    </row>
    <row r="87" spans="1:4" x14ac:dyDescent="0.25">
      <c r="A87" s="8" t="str">
        <f t="shared" si="2"/>
        <v>março</v>
      </c>
      <c r="B87" s="8">
        <v>46107</v>
      </c>
      <c r="C87">
        <f>SUMIF(AGENDA!B:B,Tabela57[DATA],AGENDA!L:L)+SUMIF(AGENDA!A:A,Tabela57[DATA],AGENDA!N:N)</f>
        <v>0</v>
      </c>
      <c r="D87" s="12">
        <f>SUMIF('FLUXO DE CAIXA'!A:A,Tabela57[[#This Row],[DATA]],FUNCIONÁRIOS!E:E)+SUMIF('COMPRA-MATERIAL'!A:A,Tabela57[[#This Row],[DATA]],'COMPRA-MATERIAL'!C:C)</f>
        <v>0</v>
      </c>
    </row>
    <row r="88" spans="1:4" x14ac:dyDescent="0.25">
      <c r="A88" s="8" t="str">
        <f t="shared" si="2"/>
        <v>março</v>
      </c>
      <c r="B88" s="8">
        <v>46108</v>
      </c>
      <c r="C88">
        <f>SUMIF(AGENDA!B:B,Tabela57[DATA],AGENDA!L:L)+SUMIF(AGENDA!A:A,Tabela57[DATA],AGENDA!N:N)</f>
        <v>0</v>
      </c>
      <c r="D88" s="12">
        <f>SUMIF('FLUXO DE CAIXA'!A:A,Tabela57[[#This Row],[DATA]],FUNCIONÁRIOS!E:E)+SUMIF('COMPRA-MATERIAL'!A:A,Tabela57[[#This Row],[DATA]],'COMPRA-MATERIAL'!C:C)</f>
        <v>0</v>
      </c>
    </row>
    <row r="89" spans="1:4" x14ac:dyDescent="0.25">
      <c r="A89" s="8" t="str">
        <f t="shared" si="2"/>
        <v>março</v>
      </c>
      <c r="B89" s="8">
        <v>46109</v>
      </c>
      <c r="C89">
        <f>SUMIF(AGENDA!B:B,Tabela57[DATA],AGENDA!L:L)+SUMIF(AGENDA!A:A,Tabela57[DATA],AGENDA!N:N)</f>
        <v>0</v>
      </c>
      <c r="D89" s="12">
        <f>SUMIF('FLUXO DE CAIXA'!A:A,Tabela57[[#This Row],[DATA]],FUNCIONÁRIOS!E:E)+SUMIF('COMPRA-MATERIAL'!A:A,Tabela57[[#This Row],[DATA]],'COMPRA-MATERIAL'!C:C)</f>
        <v>0</v>
      </c>
    </row>
    <row r="90" spans="1:4" x14ac:dyDescent="0.25">
      <c r="A90" s="8" t="str">
        <f t="shared" si="2"/>
        <v>março</v>
      </c>
      <c r="B90" s="8">
        <v>46110</v>
      </c>
      <c r="C90">
        <f>SUMIF(AGENDA!B:B,Tabela57[DATA],AGENDA!L:L)+SUMIF(AGENDA!A:A,Tabela57[DATA],AGENDA!N:N)</f>
        <v>0</v>
      </c>
      <c r="D90" s="12">
        <f>SUMIF('FLUXO DE CAIXA'!A:A,Tabela57[[#This Row],[DATA]],FUNCIONÁRIOS!E:E)+SUMIF('COMPRA-MATERIAL'!A:A,Tabela57[[#This Row],[DATA]],'COMPRA-MATERIAL'!C:C)</f>
        <v>0</v>
      </c>
    </row>
    <row r="91" spans="1:4" x14ac:dyDescent="0.25">
      <c r="A91" s="8" t="str">
        <f t="shared" si="2"/>
        <v>março</v>
      </c>
      <c r="B91" s="8">
        <v>46111</v>
      </c>
      <c r="C91">
        <f>SUMIF(AGENDA!B:B,Tabela57[DATA],AGENDA!L:L)+SUMIF(AGENDA!A:A,Tabela57[DATA],AGENDA!N:N)</f>
        <v>0</v>
      </c>
      <c r="D91" s="12">
        <f>SUMIF('FLUXO DE CAIXA'!A:A,Tabela57[[#This Row],[DATA]],FUNCIONÁRIOS!E:E)+SUMIF('COMPRA-MATERIAL'!A:A,Tabela57[[#This Row],[DATA]],'COMPRA-MATERIAL'!C:C)</f>
        <v>0</v>
      </c>
    </row>
    <row r="92" spans="1:4" x14ac:dyDescent="0.25">
      <c r="A92" s="8" t="str">
        <f t="shared" si="2"/>
        <v>março</v>
      </c>
      <c r="B92" s="8">
        <v>46112</v>
      </c>
      <c r="C92">
        <f>SUMIF(AGENDA!B:B,Tabela57[DATA],AGENDA!L:L)+SUMIF(AGENDA!A:A,Tabela57[DATA],AGENDA!N:N)</f>
        <v>0</v>
      </c>
      <c r="D92" s="12">
        <f>SUMIF('FLUXO DE CAIXA'!A:A,Tabela57[[#This Row],[DATA]],FUNCIONÁRIOS!E:E)+SUMIF('COMPRA-MATERIAL'!A:A,Tabela57[[#This Row],[DATA]],'COMPRA-MATERIAL'!C:C)</f>
        <v>0</v>
      </c>
    </row>
    <row r="93" spans="1:4" x14ac:dyDescent="0.25">
      <c r="A93" s="8" t="str">
        <f t="shared" si="2"/>
        <v>abril</v>
      </c>
      <c r="B93" s="8">
        <v>46113</v>
      </c>
      <c r="C93">
        <f>SUMIF(AGENDA!B:B,Tabela57[DATA],AGENDA!L:L)+SUMIF(AGENDA!A:A,Tabela57[DATA],AGENDA!N:N)</f>
        <v>0</v>
      </c>
      <c r="D93" s="12">
        <f>SUMIF('FLUXO DE CAIXA'!A:A,Tabela57[[#This Row],[DATA]],FUNCIONÁRIOS!E:E)+SUMIF('COMPRA-MATERIAL'!A:A,Tabela57[[#This Row],[DATA]],'COMPRA-MATERIAL'!C:C)</f>
        <v>0</v>
      </c>
    </row>
    <row r="94" spans="1:4" x14ac:dyDescent="0.25">
      <c r="A94" s="8" t="str">
        <f t="shared" si="2"/>
        <v>abril</v>
      </c>
      <c r="B94" s="8">
        <v>46114</v>
      </c>
      <c r="C94">
        <f>SUMIF(AGENDA!B:B,Tabela57[DATA],AGENDA!L:L)+SUMIF(AGENDA!A:A,Tabela57[DATA],AGENDA!N:N)</f>
        <v>0</v>
      </c>
      <c r="D94" s="12">
        <f>SUMIF('FLUXO DE CAIXA'!A:A,Tabela57[[#This Row],[DATA]],FUNCIONÁRIOS!E:E)+SUMIF('COMPRA-MATERIAL'!A:A,Tabela57[[#This Row],[DATA]],'COMPRA-MATERIAL'!C:C)</f>
        <v>0</v>
      </c>
    </row>
    <row r="95" spans="1:4" x14ac:dyDescent="0.25">
      <c r="A95" s="8" t="str">
        <f t="shared" si="2"/>
        <v>abril</v>
      </c>
      <c r="B95" s="8">
        <v>46115</v>
      </c>
      <c r="C95">
        <f>SUMIF(AGENDA!B:B,Tabela57[DATA],AGENDA!L:L)+SUMIF(AGENDA!A:A,Tabela57[DATA],AGENDA!N:N)</f>
        <v>0</v>
      </c>
      <c r="D95" s="12">
        <f>SUMIF('FLUXO DE CAIXA'!A:A,Tabela57[[#This Row],[DATA]],FUNCIONÁRIOS!E:E)+SUMIF('COMPRA-MATERIAL'!A:A,Tabela57[[#This Row],[DATA]],'COMPRA-MATERIAL'!C:C)</f>
        <v>0</v>
      </c>
    </row>
    <row r="96" spans="1:4" x14ac:dyDescent="0.25">
      <c r="A96" s="8" t="str">
        <f t="shared" si="2"/>
        <v>abril</v>
      </c>
      <c r="B96" s="8">
        <v>46116</v>
      </c>
      <c r="C96">
        <f>SUMIF(AGENDA!B:B,Tabela57[DATA],AGENDA!L:L)+SUMIF(AGENDA!A:A,Tabela57[DATA],AGENDA!N:N)</f>
        <v>0</v>
      </c>
      <c r="D96" s="12">
        <f>SUMIF('FLUXO DE CAIXA'!A:A,Tabela57[[#This Row],[DATA]],FUNCIONÁRIOS!E:E)+SUMIF('COMPRA-MATERIAL'!A:A,Tabela57[[#This Row],[DATA]],'COMPRA-MATERIAL'!C:C)</f>
        <v>0</v>
      </c>
    </row>
    <row r="97" spans="1:4" x14ac:dyDescent="0.25">
      <c r="A97" s="8" t="str">
        <f t="shared" si="2"/>
        <v>abril</v>
      </c>
      <c r="B97" s="8">
        <v>46117</v>
      </c>
      <c r="C97">
        <f>SUMIF(AGENDA!B:B,Tabela57[DATA],AGENDA!L:L)+SUMIF(AGENDA!A:A,Tabela57[DATA],AGENDA!N:N)</f>
        <v>0</v>
      </c>
      <c r="D97" s="12">
        <f>SUMIF('FLUXO DE CAIXA'!A:A,Tabela57[[#This Row],[DATA]],FUNCIONÁRIOS!E:E)+SUMIF('COMPRA-MATERIAL'!A:A,Tabela57[[#This Row],[DATA]],'COMPRA-MATERIAL'!C:C)</f>
        <v>0</v>
      </c>
    </row>
    <row r="98" spans="1:4" x14ac:dyDescent="0.25">
      <c r="A98" s="8" t="str">
        <f t="shared" si="2"/>
        <v>abril</v>
      </c>
      <c r="B98" s="8">
        <v>46118</v>
      </c>
      <c r="C98">
        <f>SUMIF(AGENDA!B:B,Tabela57[DATA],AGENDA!L:L)+SUMIF(AGENDA!A:A,Tabela57[DATA],AGENDA!N:N)</f>
        <v>0</v>
      </c>
      <c r="D98" s="12">
        <f>SUMIF('FLUXO DE CAIXA'!A:A,Tabela57[[#This Row],[DATA]],FUNCIONÁRIOS!E:E)+SUMIF('COMPRA-MATERIAL'!A:A,Tabela57[[#This Row],[DATA]],'COMPRA-MATERIAL'!C:C)</f>
        <v>0</v>
      </c>
    </row>
    <row r="99" spans="1:4" x14ac:dyDescent="0.25">
      <c r="A99" s="8" t="str">
        <f t="shared" si="2"/>
        <v>abril</v>
      </c>
      <c r="B99" s="8">
        <v>46119</v>
      </c>
      <c r="C99">
        <f>SUMIF(AGENDA!B:B,Tabela57[DATA],AGENDA!L:L)+SUMIF(AGENDA!A:A,Tabela57[DATA],AGENDA!N:N)</f>
        <v>0</v>
      </c>
      <c r="D99" s="12">
        <f>SUMIF('FLUXO DE CAIXA'!A:A,Tabela57[[#This Row],[DATA]],FUNCIONÁRIOS!E:E)+SUMIF('COMPRA-MATERIAL'!A:A,Tabela57[[#This Row],[DATA]],'COMPRA-MATERIAL'!C:C)</f>
        <v>0</v>
      </c>
    </row>
    <row r="100" spans="1:4" x14ac:dyDescent="0.25">
      <c r="A100" s="8" t="str">
        <f t="shared" si="2"/>
        <v>abril</v>
      </c>
      <c r="B100" s="8">
        <v>46120</v>
      </c>
      <c r="C100">
        <f>SUMIF(AGENDA!B:B,Tabela57[DATA],AGENDA!L:L)+SUMIF(AGENDA!A:A,Tabela57[DATA],AGENDA!N:N)</f>
        <v>0</v>
      </c>
      <c r="D100" s="12">
        <f>SUMIF('FLUXO DE CAIXA'!A:A,Tabela57[[#This Row],[DATA]],FUNCIONÁRIOS!E:E)+SUMIF('COMPRA-MATERIAL'!A:A,Tabela57[[#This Row],[DATA]],'COMPRA-MATERIAL'!C:C)</f>
        <v>0</v>
      </c>
    </row>
    <row r="101" spans="1:4" x14ac:dyDescent="0.25">
      <c r="A101" s="8" t="str">
        <f t="shared" si="2"/>
        <v>abril</v>
      </c>
      <c r="B101" s="8">
        <v>46121</v>
      </c>
      <c r="C101">
        <f>SUMIF(AGENDA!B:B,Tabela57[DATA],AGENDA!L:L)+SUMIF(AGENDA!A:A,Tabela57[DATA],AGENDA!N:N)</f>
        <v>0</v>
      </c>
      <c r="D101" s="12">
        <f>SUMIF('FLUXO DE CAIXA'!A:A,Tabela57[[#This Row],[DATA]],FUNCIONÁRIOS!E:E)+SUMIF('COMPRA-MATERIAL'!A:A,Tabela57[[#This Row],[DATA]],'COMPRA-MATERIAL'!C:C)</f>
        <v>0</v>
      </c>
    </row>
    <row r="102" spans="1:4" x14ac:dyDescent="0.25">
      <c r="A102" s="8" t="str">
        <f t="shared" si="2"/>
        <v>abril</v>
      </c>
      <c r="B102" s="8">
        <v>46122</v>
      </c>
      <c r="C102">
        <f>SUMIF(AGENDA!B:B,Tabela57[DATA],AGENDA!L:L)+SUMIF(AGENDA!A:A,Tabela57[DATA],AGENDA!N:N)</f>
        <v>0</v>
      </c>
      <c r="D102" s="12">
        <f>SUMIF('FLUXO DE CAIXA'!A:A,Tabela57[[#This Row],[DATA]],FUNCIONÁRIOS!E:E)+SUMIF('COMPRA-MATERIAL'!A:A,Tabela57[[#This Row],[DATA]],'COMPRA-MATERIAL'!C:C)</f>
        <v>0</v>
      </c>
    </row>
    <row r="103" spans="1:4" x14ac:dyDescent="0.25">
      <c r="A103" s="8" t="str">
        <f t="shared" si="2"/>
        <v>abril</v>
      </c>
      <c r="B103" s="8">
        <v>46123</v>
      </c>
      <c r="C103">
        <f>SUMIF(AGENDA!B:B,Tabela57[DATA],AGENDA!L:L)+SUMIF(AGENDA!A:A,Tabela57[DATA],AGENDA!N:N)</f>
        <v>0</v>
      </c>
      <c r="D103" s="12">
        <f>SUMIF('FLUXO DE CAIXA'!A:A,Tabela57[[#This Row],[DATA]],FUNCIONÁRIOS!E:E)+SUMIF('COMPRA-MATERIAL'!A:A,Tabela57[[#This Row],[DATA]],'COMPRA-MATERIAL'!C:C)</f>
        <v>0</v>
      </c>
    </row>
    <row r="104" spans="1:4" x14ac:dyDescent="0.25">
      <c r="A104" s="8" t="str">
        <f t="shared" si="2"/>
        <v>abril</v>
      </c>
      <c r="B104" s="8">
        <v>46124</v>
      </c>
      <c r="C104">
        <f>SUMIF(AGENDA!B:B,Tabela57[DATA],AGENDA!L:L)+SUMIF(AGENDA!A:A,Tabela57[DATA],AGENDA!N:N)</f>
        <v>0</v>
      </c>
      <c r="D104" s="12">
        <f>SUMIF('FLUXO DE CAIXA'!A:A,Tabela57[[#This Row],[DATA]],FUNCIONÁRIOS!E:E)+SUMIF('COMPRA-MATERIAL'!A:A,Tabela57[[#This Row],[DATA]],'COMPRA-MATERIAL'!C:C)</f>
        <v>0</v>
      </c>
    </row>
    <row r="105" spans="1:4" x14ac:dyDescent="0.25">
      <c r="A105" s="8" t="str">
        <f t="shared" si="2"/>
        <v>abril</v>
      </c>
      <c r="B105" s="8">
        <v>46125</v>
      </c>
      <c r="C105">
        <f>SUMIF(AGENDA!B:B,Tabela57[DATA],AGENDA!L:L)+SUMIF(AGENDA!A:A,Tabela57[DATA],AGENDA!N:N)</f>
        <v>0</v>
      </c>
      <c r="D105" s="12">
        <f>SUMIF('FLUXO DE CAIXA'!A:A,Tabela57[[#This Row],[DATA]],FUNCIONÁRIOS!E:E)+SUMIF('COMPRA-MATERIAL'!A:A,Tabela57[[#This Row],[DATA]],'COMPRA-MATERIAL'!C:C)</f>
        <v>0</v>
      </c>
    </row>
    <row r="106" spans="1:4" x14ac:dyDescent="0.25">
      <c r="A106" s="8" t="str">
        <f t="shared" si="2"/>
        <v>abril</v>
      </c>
      <c r="B106" s="8">
        <v>46126</v>
      </c>
      <c r="C106">
        <f>SUMIF(AGENDA!B:B,Tabela57[DATA],AGENDA!L:L)+SUMIF(AGENDA!A:A,Tabela57[DATA],AGENDA!N:N)</f>
        <v>0</v>
      </c>
      <c r="D106" s="12">
        <f>SUMIF('FLUXO DE CAIXA'!A:A,Tabela57[[#This Row],[DATA]],FUNCIONÁRIOS!E:E)+SUMIF('COMPRA-MATERIAL'!A:A,Tabela57[[#This Row],[DATA]],'COMPRA-MATERIAL'!C:C)</f>
        <v>0</v>
      </c>
    </row>
    <row r="107" spans="1:4" x14ac:dyDescent="0.25">
      <c r="A107" s="8" t="str">
        <f t="shared" si="2"/>
        <v>abril</v>
      </c>
      <c r="B107" s="8">
        <v>46127</v>
      </c>
      <c r="C107">
        <f>SUMIF(AGENDA!B:B,Tabela57[DATA],AGENDA!L:L)+SUMIF(AGENDA!A:A,Tabela57[DATA],AGENDA!N:N)</f>
        <v>0</v>
      </c>
      <c r="D107" s="12">
        <f>SUMIF('FLUXO DE CAIXA'!A:A,Tabela57[[#This Row],[DATA]],FUNCIONÁRIOS!E:E)+SUMIF('COMPRA-MATERIAL'!A:A,Tabela57[[#This Row],[DATA]],'COMPRA-MATERIAL'!C:C)</f>
        <v>0</v>
      </c>
    </row>
    <row r="108" spans="1:4" x14ac:dyDescent="0.25">
      <c r="A108" s="8" t="str">
        <f t="shared" si="2"/>
        <v>abril</v>
      </c>
      <c r="B108" s="8">
        <v>46128</v>
      </c>
      <c r="C108">
        <f>SUMIF(AGENDA!B:B,Tabela57[DATA],AGENDA!L:L)+SUMIF(AGENDA!A:A,Tabela57[DATA],AGENDA!N:N)</f>
        <v>0</v>
      </c>
      <c r="D108" s="12">
        <f>SUMIF('FLUXO DE CAIXA'!A:A,Tabela57[[#This Row],[DATA]],FUNCIONÁRIOS!E:E)+SUMIF('COMPRA-MATERIAL'!A:A,Tabela57[[#This Row],[DATA]],'COMPRA-MATERIAL'!C:C)</f>
        <v>0</v>
      </c>
    </row>
    <row r="109" spans="1:4" x14ac:dyDescent="0.25">
      <c r="A109" s="8" t="str">
        <f t="shared" si="2"/>
        <v>abril</v>
      </c>
      <c r="B109" s="8">
        <v>46129</v>
      </c>
      <c r="C109">
        <f>SUMIF(AGENDA!B:B,Tabela57[DATA],AGENDA!L:L)+SUMIF(AGENDA!A:A,Tabela57[DATA],AGENDA!N:N)</f>
        <v>0</v>
      </c>
      <c r="D109" s="12">
        <f>SUMIF('FLUXO DE CAIXA'!A:A,Tabela57[[#This Row],[DATA]],FUNCIONÁRIOS!E:E)+SUMIF('COMPRA-MATERIAL'!A:A,Tabela57[[#This Row],[DATA]],'COMPRA-MATERIAL'!C:C)</f>
        <v>0</v>
      </c>
    </row>
    <row r="110" spans="1:4" x14ac:dyDescent="0.25">
      <c r="A110" s="8" t="str">
        <f t="shared" si="2"/>
        <v>abril</v>
      </c>
      <c r="B110" s="8">
        <v>46130</v>
      </c>
      <c r="C110">
        <f>SUMIF(AGENDA!B:B,Tabela57[DATA],AGENDA!L:L)+SUMIF(AGENDA!A:A,Tabela57[DATA],AGENDA!N:N)</f>
        <v>0</v>
      </c>
      <c r="D110" s="12">
        <f>SUMIF('FLUXO DE CAIXA'!A:A,Tabela57[[#This Row],[DATA]],FUNCIONÁRIOS!E:E)+SUMIF('COMPRA-MATERIAL'!A:A,Tabela57[[#This Row],[DATA]],'COMPRA-MATERIAL'!C:C)</f>
        <v>0</v>
      </c>
    </row>
    <row r="111" spans="1:4" x14ac:dyDescent="0.25">
      <c r="A111" s="8" t="str">
        <f t="shared" si="2"/>
        <v>abril</v>
      </c>
      <c r="B111" s="8">
        <v>46131</v>
      </c>
      <c r="C111">
        <f>SUMIF(AGENDA!B:B,Tabela57[DATA],AGENDA!L:L)+SUMIF(AGENDA!A:A,Tabela57[DATA],AGENDA!N:N)</f>
        <v>0</v>
      </c>
      <c r="D111" s="12">
        <f>SUMIF('FLUXO DE CAIXA'!A:A,Tabela57[[#This Row],[DATA]],FUNCIONÁRIOS!E:E)+SUMIF('COMPRA-MATERIAL'!A:A,Tabela57[[#This Row],[DATA]],'COMPRA-MATERIAL'!C:C)</f>
        <v>0</v>
      </c>
    </row>
    <row r="112" spans="1:4" x14ac:dyDescent="0.25">
      <c r="A112" s="8" t="str">
        <f t="shared" si="2"/>
        <v>abril</v>
      </c>
      <c r="B112" s="8">
        <v>46132</v>
      </c>
      <c r="C112">
        <f>SUMIF(AGENDA!B:B,Tabela57[DATA],AGENDA!L:L)+SUMIF(AGENDA!A:A,Tabela57[DATA],AGENDA!N:N)</f>
        <v>0</v>
      </c>
      <c r="D112" s="12">
        <f>SUMIF('FLUXO DE CAIXA'!A:A,Tabela57[[#This Row],[DATA]],FUNCIONÁRIOS!E:E)+SUMIF('COMPRA-MATERIAL'!A:A,Tabela57[[#This Row],[DATA]],'COMPRA-MATERIAL'!C:C)</f>
        <v>0</v>
      </c>
    </row>
    <row r="113" spans="1:4" x14ac:dyDescent="0.25">
      <c r="A113" s="8" t="str">
        <f t="shared" si="2"/>
        <v>abril</v>
      </c>
      <c r="B113" s="8">
        <v>46133</v>
      </c>
      <c r="C113">
        <f>SUMIF(AGENDA!B:B,Tabela57[DATA],AGENDA!L:L)+SUMIF(AGENDA!A:A,Tabela57[DATA],AGENDA!N:N)</f>
        <v>0</v>
      </c>
      <c r="D113" s="12">
        <f>SUMIF('FLUXO DE CAIXA'!A:A,Tabela57[[#This Row],[DATA]],FUNCIONÁRIOS!E:E)+SUMIF('COMPRA-MATERIAL'!A:A,Tabela57[[#This Row],[DATA]],'COMPRA-MATERIAL'!C:C)</f>
        <v>0</v>
      </c>
    </row>
    <row r="114" spans="1:4" x14ac:dyDescent="0.25">
      <c r="A114" s="8" t="str">
        <f t="shared" si="2"/>
        <v>abril</v>
      </c>
      <c r="B114" s="8">
        <v>46134</v>
      </c>
      <c r="C114">
        <f>SUMIF(AGENDA!B:B,Tabela57[DATA],AGENDA!L:L)+SUMIF(AGENDA!A:A,Tabela57[DATA],AGENDA!N:N)</f>
        <v>0</v>
      </c>
      <c r="D114" s="12">
        <f>SUMIF('FLUXO DE CAIXA'!A:A,Tabela57[[#This Row],[DATA]],FUNCIONÁRIOS!E:E)+SUMIF('COMPRA-MATERIAL'!A:A,Tabela57[[#This Row],[DATA]],'COMPRA-MATERIAL'!C:C)</f>
        <v>0</v>
      </c>
    </row>
    <row r="115" spans="1:4" x14ac:dyDescent="0.25">
      <c r="A115" s="8" t="str">
        <f t="shared" si="2"/>
        <v>abril</v>
      </c>
      <c r="B115" s="8">
        <v>46135</v>
      </c>
      <c r="C115">
        <f>SUMIF(AGENDA!B:B,Tabela57[DATA],AGENDA!L:L)+SUMIF(AGENDA!A:A,Tabela57[DATA],AGENDA!N:N)</f>
        <v>0</v>
      </c>
      <c r="D115" s="12">
        <f>SUMIF('FLUXO DE CAIXA'!A:A,Tabela57[[#This Row],[DATA]],FUNCIONÁRIOS!E:E)+SUMIF('COMPRA-MATERIAL'!A:A,Tabela57[[#This Row],[DATA]],'COMPRA-MATERIAL'!C:C)</f>
        <v>0</v>
      </c>
    </row>
    <row r="116" spans="1:4" x14ac:dyDescent="0.25">
      <c r="A116" s="8" t="str">
        <f t="shared" si="2"/>
        <v>abril</v>
      </c>
      <c r="B116" s="8">
        <v>46136</v>
      </c>
      <c r="C116">
        <f>SUMIF(AGENDA!B:B,Tabela57[DATA],AGENDA!L:L)+SUMIF(AGENDA!A:A,Tabela57[DATA],AGENDA!N:N)</f>
        <v>0</v>
      </c>
      <c r="D116" s="12">
        <f>SUMIF('FLUXO DE CAIXA'!A:A,Tabela57[[#This Row],[DATA]],FUNCIONÁRIOS!E:E)+SUMIF('COMPRA-MATERIAL'!A:A,Tabela57[[#This Row],[DATA]],'COMPRA-MATERIAL'!C:C)</f>
        <v>0</v>
      </c>
    </row>
    <row r="117" spans="1:4" x14ac:dyDescent="0.25">
      <c r="A117" s="8" t="str">
        <f t="shared" si="2"/>
        <v>abril</v>
      </c>
      <c r="B117" s="8">
        <v>46137</v>
      </c>
      <c r="C117">
        <f>SUMIF(AGENDA!B:B,Tabela57[DATA],AGENDA!L:L)+SUMIF(AGENDA!A:A,Tabela57[DATA],AGENDA!N:N)</f>
        <v>0</v>
      </c>
      <c r="D117" s="12">
        <f>SUMIF('FLUXO DE CAIXA'!A:A,Tabela57[[#This Row],[DATA]],FUNCIONÁRIOS!E:E)+SUMIF('COMPRA-MATERIAL'!A:A,Tabela57[[#This Row],[DATA]],'COMPRA-MATERIAL'!C:C)</f>
        <v>0</v>
      </c>
    </row>
    <row r="118" spans="1:4" x14ac:dyDescent="0.25">
      <c r="A118" s="8" t="str">
        <f t="shared" si="2"/>
        <v>abril</v>
      </c>
      <c r="B118" s="8">
        <v>46138</v>
      </c>
      <c r="C118">
        <f>SUMIF(AGENDA!B:B,Tabela57[DATA],AGENDA!L:L)+SUMIF(AGENDA!A:A,Tabela57[DATA],AGENDA!N:N)</f>
        <v>0</v>
      </c>
      <c r="D118" s="12">
        <f>SUMIF('FLUXO DE CAIXA'!A:A,Tabela57[[#This Row],[DATA]],FUNCIONÁRIOS!E:E)+SUMIF('COMPRA-MATERIAL'!A:A,Tabela57[[#This Row],[DATA]],'COMPRA-MATERIAL'!C:C)</f>
        <v>0</v>
      </c>
    </row>
    <row r="119" spans="1:4" x14ac:dyDescent="0.25">
      <c r="A119" s="8" t="str">
        <f t="shared" si="2"/>
        <v>abril</v>
      </c>
      <c r="B119" s="8">
        <v>46139</v>
      </c>
      <c r="C119">
        <f>SUMIF(AGENDA!B:B,Tabela57[DATA],AGENDA!L:L)+SUMIF(AGENDA!A:A,Tabela57[DATA],AGENDA!N:N)</f>
        <v>0</v>
      </c>
      <c r="D119" s="12">
        <f>SUMIF('FLUXO DE CAIXA'!A:A,Tabela57[[#This Row],[DATA]],FUNCIONÁRIOS!E:E)+SUMIF('COMPRA-MATERIAL'!A:A,Tabela57[[#This Row],[DATA]],'COMPRA-MATERIAL'!C:C)</f>
        <v>0</v>
      </c>
    </row>
    <row r="120" spans="1:4" x14ac:dyDescent="0.25">
      <c r="A120" s="8" t="str">
        <f t="shared" si="2"/>
        <v>abril</v>
      </c>
      <c r="B120" s="8">
        <v>46140</v>
      </c>
      <c r="C120">
        <f>SUMIF(AGENDA!B:B,Tabela57[DATA],AGENDA!L:L)+SUMIF(AGENDA!A:A,Tabela57[DATA],AGENDA!N:N)</f>
        <v>0</v>
      </c>
      <c r="D120" s="12">
        <f>SUMIF('FLUXO DE CAIXA'!A:A,Tabela57[[#This Row],[DATA]],FUNCIONÁRIOS!E:E)+SUMIF('COMPRA-MATERIAL'!A:A,Tabela57[[#This Row],[DATA]],'COMPRA-MATERIAL'!C:C)</f>
        <v>0</v>
      </c>
    </row>
    <row r="121" spans="1:4" x14ac:dyDescent="0.25">
      <c r="A121" s="8" t="str">
        <f t="shared" si="2"/>
        <v>abril</v>
      </c>
      <c r="B121" s="8">
        <v>46141</v>
      </c>
      <c r="C121">
        <f>SUMIF(AGENDA!B:B,Tabela57[DATA],AGENDA!L:L)+SUMIF(AGENDA!A:A,Tabela57[DATA],AGENDA!N:N)</f>
        <v>0</v>
      </c>
      <c r="D121" s="12">
        <f>SUMIF('FLUXO DE CAIXA'!A:A,Tabela57[[#This Row],[DATA]],FUNCIONÁRIOS!E:E)+SUMIF('COMPRA-MATERIAL'!A:A,Tabela57[[#This Row],[DATA]],'COMPRA-MATERIAL'!C:C)</f>
        <v>0</v>
      </c>
    </row>
    <row r="122" spans="1:4" x14ac:dyDescent="0.25">
      <c r="A122" s="8" t="str">
        <f t="shared" si="2"/>
        <v>abril</v>
      </c>
      <c r="B122" s="8">
        <v>46142</v>
      </c>
      <c r="C122">
        <f>SUMIF(AGENDA!B:B,Tabela57[DATA],AGENDA!L:L)+SUMIF(AGENDA!A:A,Tabela57[DATA],AGENDA!N:N)</f>
        <v>0</v>
      </c>
      <c r="D122" s="12">
        <f>SUMIF('FLUXO DE CAIXA'!A:A,Tabela57[[#This Row],[DATA]],FUNCIONÁRIOS!E:E)+SUMIF('COMPRA-MATERIAL'!A:A,Tabela57[[#This Row],[DATA]],'COMPRA-MATERIAL'!C:C)</f>
        <v>0</v>
      </c>
    </row>
    <row r="123" spans="1:4" x14ac:dyDescent="0.25">
      <c r="A123" s="8" t="str">
        <f t="shared" si="2"/>
        <v>maio</v>
      </c>
      <c r="B123" s="8">
        <v>46143</v>
      </c>
      <c r="C123">
        <f>SUMIF(AGENDA!B:B,Tabela57[DATA],AGENDA!L:L)+SUMIF(AGENDA!A:A,Tabela57[DATA],AGENDA!N:N)</f>
        <v>0</v>
      </c>
      <c r="D123" s="12">
        <f>SUMIF('FLUXO DE CAIXA'!A:A,Tabela57[[#This Row],[DATA]],FUNCIONÁRIOS!E:E)+SUMIF('COMPRA-MATERIAL'!A:A,Tabela57[[#This Row],[DATA]],'COMPRA-MATERIAL'!C:C)</f>
        <v>0</v>
      </c>
    </row>
    <row r="124" spans="1:4" x14ac:dyDescent="0.25">
      <c r="A124" s="8" t="str">
        <f t="shared" si="2"/>
        <v>maio</v>
      </c>
      <c r="B124" s="8">
        <v>46144</v>
      </c>
      <c r="C124">
        <f>SUMIF(AGENDA!B:B,Tabela57[DATA],AGENDA!L:L)+SUMIF(AGENDA!A:A,Tabela57[DATA],AGENDA!N:N)</f>
        <v>0</v>
      </c>
      <c r="D124" s="12">
        <f>SUMIF('FLUXO DE CAIXA'!A:A,Tabela57[[#This Row],[DATA]],FUNCIONÁRIOS!E:E)+SUMIF('COMPRA-MATERIAL'!A:A,Tabela57[[#This Row],[DATA]],'COMPRA-MATERIAL'!C:C)</f>
        <v>0</v>
      </c>
    </row>
    <row r="125" spans="1:4" x14ac:dyDescent="0.25">
      <c r="A125" s="8" t="str">
        <f t="shared" si="2"/>
        <v>maio</v>
      </c>
      <c r="B125" s="8">
        <v>46145</v>
      </c>
      <c r="C125">
        <f>SUMIF(AGENDA!B:B,Tabela57[DATA],AGENDA!L:L)+SUMIF(AGENDA!A:A,Tabela57[DATA],AGENDA!N:N)</f>
        <v>0</v>
      </c>
      <c r="D125" s="12">
        <f>SUMIF('FLUXO DE CAIXA'!A:A,Tabela57[[#This Row],[DATA]],FUNCIONÁRIOS!E:E)+SUMIF('COMPRA-MATERIAL'!A:A,Tabela57[[#This Row],[DATA]],'COMPRA-MATERIAL'!C:C)</f>
        <v>0</v>
      </c>
    </row>
    <row r="126" spans="1:4" x14ac:dyDescent="0.25">
      <c r="A126" s="8" t="str">
        <f t="shared" si="2"/>
        <v>maio</v>
      </c>
      <c r="B126" s="8">
        <v>46146</v>
      </c>
      <c r="C126">
        <f>SUMIF(AGENDA!B:B,Tabela57[DATA],AGENDA!L:L)+SUMIF(AGENDA!A:A,Tabela57[DATA],AGENDA!N:N)</f>
        <v>0</v>
      </c>
      <c r="D126" s="12">
        <f>SUMIF('FLUXO DE CAIXA'!A:A,Tabela57[[#This Row],[DATA]],FUNCIONÁRIOS!E:E)+SUMIF('COMPRA-MATERIAL'!A:A,Tabela57[[#This Row],[DATA]],'COMPRA-MATERIAL'!C:C)</f>
        <v>0</v>
      </c>
    </row>
    <row r="127" spans="1:4" x14ac:dyDescent="0.25">
      <c r="A127" s="8" t="str">
        <f t="shared" si="2"/>
        <v>maio</v>
      </c>
      <c r="B127" s="8">
        <v>46147</v>
      </c>
      <c r="C127">
        <f>SUMIF(AGENDA!B:B,Tabela57[DATA],AGENDA!L:L)+SUMIF(AGENDA!A:A,Tabela57[DATA],AGENDA!N:N)</f>
        <v>0</v>
      </c>
      <c r="D127" s="12">
        <f>SUMIF('FLUXO DE CAIXA'!A:A,Tabela57[[#This Row],[DATA]],FUNCIONÁRIOS!E:E)+SUMIF('COMPRA-MATERIAL'!A:A,Tabela57[[#This Row],[DATA]],'COMPRA-MATERIAL'!C:C)</f>
        <v>0</v>
      </c>
    </row>
    <row r="128" spans="1:4" x14ac:dyDescent="0.25">
      <c r="A128" s="8" t="str">
        <f t="shared" si="2"/>
        <v>maio</v>
      </c>
      <c r="B128" s="8">
        <v>46148</v>
      </c>
      <c r="C128">
        <f>SUMIF(AGENDA!B:B,Tabela57[DATA],AGENDA!L:L)+SUMIF(AGENDA!A:A,Tabela57[DATA],AGENDA!N:N)</f>
        <v>0</v>
      </c>
      <c r="D128" s="12">
        <f>SUMIF('FLUXO DE CAIXA'!A:A,Tabela57[[#This Row],[DATA]],FUNCIONÁRIOS!E:E)+SUMIF('COMPRA-MATERIAL'!A:A,Tabela57[[#This Row],[DATA]],'COMPRA-MATERIAL'!C:C)</f>
        <v>0</v>
      </c>
    </row>
    <row r="129" spans="1:4" x14ac:dyDescent="0.25">
      <c r="A129" s="8" t="str">
        <f t="shared" si="2"/>
        <v>maio</v>
      </c>
      <c r="B129" s="8">
        <v>46149</v>
      </c>
      <c r="C129">
        <f>SUMIF(AGENDA!B:B,Tabela57[DATA],AGENDA!L:L)+SUMIF(AGENDA!A:A,Tabela57[DATA],AGENDA!N:N)</f>
        <v>0</v>
      </c>
      <c r="D129" s="12">
        <f>SUMIF('FLUXO DE CAIXA'!A:A,Tabela57[[#This Row],[DATA]],FUNCIONÁRIOS!E:E)+SUMIF('COMPRA-MATERIAL'!A:A,Tabela57[[#This Row],[DATA]],'COMPRA-MATERIAL'!C:C)</f>
        <v>0</v>
      </c>
    </row>
    <row r="130" spans="1:4" x14ac:dyDescent="0.25">
      <c r="A130" s="8" t="str">
        <f t="shared" si="2"/>
        <v>maio</v>
      </c>
      <c r="B130" s="8">
        <v>46150</v>
      </c>
      <c r="C130">
        <f>SUMIF(AGENDA!B:B,Tabela57[DATA],AGENDA!L:L)+SUMIF(AGENDA!A:A,Tabela57[DATA],AGENDA!N:N)</f>
        <v>0</v>
      </c>
      <c r="D130" s="12">
        <f>SUMIF('FLUXO DE CAIXA'!A:A,Tabela57[[#This Row],[DATA]],FUNCIONÁRIOS!E:E)+SUMIF('COMPRA-MATERIAL'!A:A,Tabela57[[#This Row],[DATA]],'COMPRA-MATERIAL'!C:C)</f>
        <v>0</v>
      </c>
    </row>
    <row r="131" spans="1:4" x14ac:dyDescent="0.25">
      <c r="A131" s="8" t="str">
        <f t="shared" si="2"/>
        <v>maio</v>
      </c>
      <c r="B131" s="8">
        <v>46151</v>
      </c>
      <c r="C131">
        <f>SUMIF(AGENDA!B:B,Tabela57[DATA],AGENDA!L:L)+SUMIF(AGENDA!A:A,Tabela57[DATA],AGENDA!N:N)</f>
        <v>0</v>
      </c>
      <c r="D131" s="12">
        <f>SUMIF('FLUXO DE CAIXA'!A:A,Tabela57[[#This Row],[DATA]],FUNCIONÁRIOS!E:E)+SUMIF('COMPRA-MATERIAL'!A:A,Tabela57[[#This Row],[DATA]],'COMPRA-MATERIAL'!C:C)</f>
        <v>0</v>
      </c>
    </row>
    <row r="132" spans="1:4" x14ac:dyDescent="0.25">
      <c r="A132" s="8" t="str">
        <f t="shared" si="2"/>
        <v>maio</v>
      </c>
      <c r="B132" s="8">
        <v>46152</v>
      </c>
      <c r="C132">
        <f>SUMIF(AGENDA!B:B,Tabela57[DATA],AGENDA!L:L)+SUMIF(AGENDA!A:A,Tabela57[DATA],AGENDA!N:N)</f>
        <v>0</v>
      </c>
      <c r="D132" s="12">
        <f>SUMIF('FLUXO DE CAIXA'!A:A,Tabela57[[#This Row],[DATA]],FUNCIONÁRIOS!E:E)+SUMIF('COMPRA-MATERIAL'!A:A,Tabela57[[#This Row],[DATA]],'COMPRA-MATERIAL'!C:C)</f>
        <v>0</v>
      </c>
    </row>
    <row r="133" spans="1:4" x14ac:dyDescent="0.25">
      <c r="A133" s="8" t="str">
        <f t="shared" si="2"/>
        <v>maio</v>
      </c>
      <c r="B133" s="8">
        <v>46153</v>
      </c>
      <c r="C133">
        <f>SUMIF(AGENDA!B:B,Tabela57[DATA],AGENDA!L:L)+SUMIF(AGENDA!A:A,Tabela57[DATA],AGENDA!N:N)</f>
        <v>0</v>
      </c>
      <c r="D133" s="12">
        <f>SUMIF('FLUXO DE CAIXA'!A:A,Tabela57[[#This Row],[DATA]],FUNCIONÁRIOS!E:E)+SUMIF('COMPRA-MATERIAL'!A:A,Tabela57[[#This Row],[DATA]],'COMPRA-MATERIAL'!C:C)</f>
        <v>0</v>
      </c>
    </row>
    <row r="134" spans="1:4" x14ac:dyDescent="0.25">
      <c r="A134" s="8" t="str">
        <f t="shared" si="2"/>
        <v>maio</v>
      </c>
      <c r="B134" s="8">
        <v>46154</v>
      </c>
      <c r="C134">
        <f>SUMIF(AGENDA!B:B,Tabela57[DATA],AGENDA!L:L)+SUMIF(AGENDA!A:A,Tabela57[DATA],AGENDA!N:N)</f>
        <v>0</v>
      </c>
      <c r="D134" s="12">
        <f>SUMIF('FLUXO DE CAIXA'!A:A,Tabela57[[#This Row],[DATA]],FUNCIONÁRIOS!E:E)+SUMIF('COMPRA-MATERIAL'!A:A,Tabela57[[#This Row],[DATA]],'COMPRA-MATERIAL'!C:C)</f>
        <v>0</v>
      </c>
    </row>
    <row r="135" spans="1:4" x14ac:dyDescent="0.25">
      <c r="A135" s="8" t="str">
        <f t="shared" si="2"/>
        <v>maio</v>
      </c>
      <c r="B135" s="8">
        <v>46155</v>
      </c>
      <c r="C135">
        <f>SUMIF(AGENDA!B:B,Tabela57[DATA],AGENDA!L:L)+SUMIF(AGENDA!A:A,Tabela57[DATA],AGENDA!N:N)</f>
        <v>0</v>
      </c>
      <c r="D135" s="12">
        <f>SUMIF('FLUXO DE CAIXA'!A:A,Tabela57[[#This Row],[DATA]],FUNCIONÁRIOS!E:E)+SUMIF('COMPRA-MATERIAL'!A:A,Tabela57[[#This Row],[DATA]],'COMPRA-MATERIAL'!C:C)</f>
        <v>0</v>
      </c>
    </row>
    <row r="136" spans="1:4" x14ac:dyDescent="0.25">
      <c r="A136" s="8" t="str">
        <f t="shared" si="2"/>
        <v>maio</v>
      </c>
      <c r="B136" s="8">
        <v>46156</v>
      </c>
      <c r="C136">
        <f>SUMIF(AGENDA!B:B,Tabela57[DATA],AGENDA!L:L)+SUMIF(AGENDA!A:A,Tabela57[DATA],AGENDA!N:N)</f>
        <v>0</v>
      </c>
      <c r="D136" s="12">
        <f>SUMIF('FLUXO DE CAIXA'!A:A,Tabela57[[#This Row],[DATA]],FUNCIONÁRIOS!E:E)+SUMIF('COMPRA-MATERIAL'!A:A,Tabela57[[#This Row],[DATA]],'COMPRA-MATERIAL'!C:C)</f>
        <v>0</v>
      </c>
    </row>
    <row r="137" spans="1:4" x14ac:dyDescent="0.25">
      <c r="A137" s="8" t="str">
        <f t="shared" si="2"/>
        <v>maio</v>
      </c>
      <c r="B137" s="8">
        <v>46157</v>
      </c>
      <c r="C137">
        <f>SUMIF(AGENDA!B:B,Tabela57[DATA],AGENDA!L:L)+SUMIF(AGENDA!A:A,Tabela57[DATA],AGENDA!N:N)</f>
        <v>0</v>
      </c>
      <c r="D137" s="12">
        <f>SUMIF('FLUXO DE CAIXA'!A:A,Tabela57[[#This Row],[DATA]],FUNCIONÁRIOS!E:E)+SUMIF('COMPRA-MATERIAL'!A:A,Tabela57[[#This Row],[DATA]],'COMPRA-MATERIAL'!C:C)</f>
        <v>0</v>
      </c>
    </row>
    <row r="138" spans="1:4" x14ac:dyDescent="0.25">
      <c r="A138" s="8" t="str">
        <f t="shared" si="2"/>
        <v>maio</v>
      </c>
      <c r="B138" s="8">
        <v>46158</v>
      </c>
      <c r="C138">
        <f>SUMIF(AGENDA!B:B,Tabela57[DATA],AGENDA!L:L)+SUMIF(AGENDA!A:A,Tabela57[DATA],AGENDA!N:N)</f>
        <v>0</v>
      </c>
      <c r="D138" s="12">
        <f>SUMIF('FLUXO DE CAIXA'!A:A,Tabela57[[#This Row],[DATA]],FUNCIONÁRIOS!E:E)+SUMIF('COMPRA-MATERIAL'!A:A,Tabela57[[#This Row],[DATA]],'COMPRA-MATERIAL'!C:C)</f>
        <v>0</v>
      </c>
    </row>
    <row r="139" spans="1:4" x14ac:dyDescent="0.25">
      <c r="A139" s="8" t="str">
        <f t="shared" si="2"/>
        <v>maio</v>
      </c>
      <c r="B139" s="8">
        <v>46159</v>
      </c>
      <c r="C139">
        <f>SUMIF(AGENDA!B:B,Tabela57[DATA],AGENDA!L:L)+SUMIF(AGENDA!A:A,Tabela57[DATA],AGENDA!N:N)</f>
        <v>0</v>
      </c>
      <c r="D139" s="12">
        <f>SUMIF('FLUXO DE CAIXA'!A:A,Tabela57[[#This Row],[DATA]],FUNCIONÁRIOS!E:E)+SUMIF('COMPRA-MATERIAL'!A:A,Tabela57[[#This Row],[DATA]],'COMPRA-MATERIAL'!C:C)</f>
        <v>0</v>
      </c>
    </row>
    <row r="140" spans="1:4" x14ac:dyDescent="0.25">
      <c r="A140" s="8" t="str">
        <f t="shared" si="2"/>
        <v>maio</v>
      </c>
      <c r="B140" s="8">
        <v>46160</v>
      </c>
      <c r="C140">
        <f>SUMIF(AGENDA!B:B,Tabela57[DATA],AGENDA!L:L)+SUMIF(AGENDA!A:A,Tabela57[DATA],AGENDA!N:N)</f>
        <v>0</v>
      </c>
      <c r="D140" s="12">
        <f>SUMIF('FLUXO DE CAIXA'!A:A,Tabela57[[#This Row],[DATA]],FUNCIONÁRIOS!E:E)+SUMIF('COMPRA-MATERIAL'!A:A,Tabela57[[#This Row],[DATA]],'COMPRA-MATERIAL'!C:C)</f>
        <v>0</v>
      </c>
    </row>
    <row r="141" spans="1:4" x14ac:dyDescent="0.25">
      <c r="A141" s="8" t="str">
        <f t="shared" si="2"/>
        <v>maio</v>
      </c>
      <c r="B141" s="8">
        <v>46161</v>
      </c>
      <c r="C141">
        <f>SUMIF(AGENDA!B:B,Tabela57[DATA],AGENDA!L:L)+SUMIF(AGENDA!A:A,Tabela57[DATA],AGENDA!N:N)</f>
        <v>0</v>
      </c>
      <c r="D141" s="12">
        <f>SUMIF('FLUXO DE CAIXA'!A:A,Tabela57[[#This Row],[DATA]],FUNCIONÁRIOS!E:E)+SUMIF('COMPRA-MATERIAL'!A:A,Tabela57[[#This Row],[DATA]],'COMPRA-MATERIAL'!C:C)</f>
        <v>0</v>
      </c>
    </row>
    <row r="142" spans="1:4" x14ac:dyDescent="0.25">
      <c r="A142" s="8" t="str">
        <f t="shared" si="2"/>
        <v>maio</v>
      </c>
      <c r="B142" s="8">
        <v>46162</v>
      </c>
      <c r="C142">
        <f>SUMIF(AGENDA!B:B,Tabela57[DATA],AGENDA!L:L)+SUMIF(AGENDA!A:A,Tabela57[DATA],AGENDA!N:N)</f>
        <v>0</v>
      </c>
      <c r="D142" s="12">
        <f>SUMIF('FLUXO DE CAIXA'!A:A,Tabela57[[#This Row],[DATA]],FUNCIONÁRIOS!E:E)+SUMIF('COMPRA-MATERIAL'!A:A,Tabela57[[#This Row],[DATA]],'COMPRA-MATERIAL'!C:C)</f>
        <v>0</v>
      </c>
    </row>
    <row r="143" spans="1:4" x14ac:dyDescent="0.25">
      <c r="A143" s="8" t="str">
        <f t="shared" si="2"/>
        <v>maio</v>
      </c>
      <c r="B143" s="8">
        <v>46163</v>
      </c>
      <c r="C143">
        <f>SUMIF(AGENDA!B:B,Tabela57[DATA],AGENDA!L:L)+SUMIF(AGENDA!A:A,Tabela57[DATA],AGENDA!N:N)</f>
        <v>0</v>
      </c>
      <c r="D143" s="12">
        <f>SUMIF('FLUXO DE CAIXA'!A:A,Tabela57[[#This Row],[DATA]],FUNCIONÁRIOS!E:E)+SUMIF('COMPRA-MATERIAL'!A:A,Tabela57[[#This Row],[DATA]],'COMPRA-MATERIAL'!C:C)</f>
        <v>0</v>
      </c>
    </row>
    <row r="144" spans="1:4" x14ac:dyDescent="0.25">
      <c r="A144" s="8" t="str">
        <f t="shared" si="2"/>
        <v>maio</v>
      </c>
      <c r="B144" s="8">
        <v>46164</v>
      </c>
      <c r="C144">
        <f>SUMIF(AGENDA!B:B,Tabela57[DATA],AGENDA!L:L)+SUMIF(AGENDA!A:A,Tabela57[DATA],AGENDA!N:N)</f>
        <v>0</v>
      </c>
      <c r="D144" s="12">
        <f>SUMIF('FLUXO DE CAIXA'!A:A,Tabela57[[#This Row],[DATA]],FUNCIONÁRIOS!E:E)+SUMIF('COMPRA-MATERIAL'!A:A,Tabela57[[#This Row],[DATA]],'COMPRA-MATERIAL'!C:C)</f>
        <v>0</v>
      </c>
    </row>
    <row r="145" spans="1:4" x14ac:dyDescent="0.25">
      <c r="A145" s="8" t="str">
        <f t="shared" si="2"/>
        <v>maio</v>
      </c>
      <c r="B145" s="8">
        <v>46165</v>
      </c>
      <c r="C145">
        <f>SUMIF(AGENDA!B:B,Tabela57[DATA],AGENDA!L:L)+SUMIF(AGENDA!A:A,Tabela57[DATA],AGENDA!N:N)</f>
        <v>0</v>
      </c>
      <c r="D145" s="12">
        <f>SUMIF('FLUXO DE CAIXA'!A:A,Tabela57[[#This Row],[DATA]],FUNCIONÁRIOS!E:E)+SUMIF('COMPRA-MATERIAL'!A:A,Tabela57[[#This Row],[DATA]],'COMPRA-MATERIAL'!C:C)</f>
        <v>0</v>
      </c>
    </row>
    <row r="146" spans="1:4" x14ac:dyDescent="0.25">
      <c r="A146" s="8" t="str">
        <f t="shared" si="2"/>
        <v>maio</v>
      </c>
      <c r="B146" s="8">
        <v>46166</v>
      </c>
      <c r="C146">
        <f>SUMIF(AGENDA!B:B,Tabela57[DATA],AGENDA!L:L)+SUMIF(AGENDA!A:A,Tabela57[DATA],AGENDA!N:N)</f>
        <v>0</v>
      </c>
      <c r="D146" s="12">
        <f>SUMIF('FLUXO DE CAIXA'!A:A,Tabela57[[#This Row],[DATA]],FUNCIONÁRIOS!E:E)+SUMIF('COMPRA-MATERIAL'!A:A,Tabela57[[#This Row],[DATA]],'COMPRA-MATERIAL'!C:C)</f>
        <v>0</v>
      </c>
    </row>
    <row r="147" spans="1:4" x14ac:dyDescent="0.25">
      <c r="A147" s="8" t="str">
        <f t="shared" si="2"/>
        <v>maio</v>
      </c>
      <c r="B147" s="8">
        <v>46167</v>
      </c>
      <c r="C147">
        <f>SUMIF(AGENDA!B:B,Tabela57[DATA],AGENDA!L:L)+SUMIF(AGENDA!A:A,Tabela57[DATA],AGENDA!N:N)</f>
        <v>0</v>
      </c>
      <c r="D147" s="12">
        <f>SUMIF('FLUXO DE CAIXA'!A:A,Tabela57[[#This Row],[DATA]],FUNCIONÁRIOS!E:E)+SUMIF('COMPRA-MATERIAL'!A:A,Tabela57[[#This Row],[DATA]],'COMPRA-MATERIAL'!C:C)</f>
        <v>0</v>
      </c>
    </row>
    <row r="148" spans="1:4" x14ac:dyDescent="0.25">
      <c r="A148" s="8" t="str">
        <f t="shared" si="2"/>
        <v>maio</v>
      </c>
      <c r="B148" s="8">
        <v>46168</v>
      </c>
      <c r="C148">
        <f>SUMIF(AGENDA!B:B,Tabela57[DATA],AGENDA!L:L)+SUMIF(AGENDA!A:A,Tabela57[DATA],AGENDA!N:N)</f>
        <v>0</v>
      </c>
      <c r="D148" s="12">
        <f>SUMIF('FLUXO DE CAIXA'!A:A,Tabela57[[#This Row],[DATA]],FUNCIONÁRIOS!E:E)+SUMIF('COMPRA-MATERIAL'!A:A,Tabela57[[#This Row],[DATA]],'COMPRA-MATERIAL'!C:C)</f>
        <v>0</v>
      </c>
    </row>
    <row r="149" spans="1:4" x14ac:dyDescent="0.25">
      <c r="A149" s="8" t="str">
        <f t="shared" si="2"/>
        <v>maio</v>
      </c>
      <c r="B149" s="8">
        <v>46169</v>
      </c>
      <c r="C149">
        <f>SUMIF(AGENDA!B:B,Tabela57[DATA],AGENDA!L:L)+SUMIF(AGENDA!A:A,Tabela57[DATA],AGENDA!N:N)</f>
        <v>0</v>
      </c>
      <c r="D149" s="12">
        <f>SUMIF('FLUXO DE CAIXA'!A:A,Tabela57[[#This Row],[DATA]],FUNCIONÁRIOS!E:E)+SUMIF('COMPRA-MATERIAL'!A:A,Tabela57[[#This Row],[DATA]],'COMPRA-MATERIAL'!C:C)</f>
        <v>0</v>
      </c>
    </row>
    <row r="150" spans="1:4" x14ac:dyDescent="0.25">
      <c r="A150" s="8" t="str">
        <f t="shared" ref="A150:A213" si="3">TEXT(B150,"MMMM")</f>
        <v>maio</v>
      </c>
      <c r="B150" s="8">
        <v>46170</v>
      </c>
      <c r="C150">
        <f>SUMIF(AGENDA!B:B,Tabela57[DATA],AGENDA!L:L)+SUMIF(AGENDA!A:A,Tabela57[DATA],AGENDA!N:N)</f>
        <v>0</v>
      </c>
      <c r="D150" s="12">
        <f>SUMIF('FLUXO DE CAIXA'!A:A,Tabela57[[#This Row],[DATA]],FUNCIONÁRIOS!E:E)+SUMIF('COMPRA-MATERIAL'!A:A,Tabela57[[#This Row],[DATA]],'COMPRA-MATERIAL'!C:C)</f>
        <v>0</v>
      </c>
    </row>
    <row r="151" spans="1:4" x14ac:dyDescent="0.25">
      <c r="A151" s="8" t="str">
        <f t="shared" si="3"/>
        <v>maio</v>
      </c>
      <c r="B151" s="8">
        <v>46171</v>
      </c>
      <c r="C151">
        <f>SUMIF(AGENDA!B:B,Tabela57[DATA],AGENDA!L:L)+SUMIF(AGENDA!A:A,Tabela57[DATA],AGENDA!N:N)</f>
        <v>0</v>
      </c>
      <c r="D151" s="12">
        <f>SUMIF('FLUXO DE CAIXA'!A:A,Tabela57[[#This Row],[DATA]],FUNCIONÁRIOS!E:E)+SUMIF('COMPRA-MATERIAL'!A:A,Tabela57[[#This Row],[DATA]],'COMPRA-MATERIAL'!C:C)</f>
        <v>0</v>
      </c>
    </row>
    <row r="152" spans="1:4" x14ac:dyDescent="0.25">
      <c r="A152" s="8" t="str">
        <f t="shared" si="3"/>
        <v>maio</v>
      </c>
      <c r="B152" s="8">
        <v>46172</v>
      </c>
      <c r="C152">
        <f>SUMIF(AGENDA!B:B,Tabela57[DATA],AGENDA!L:L)+SUMIF(AGENDA!A:A,Tabela57[DATA],AGENDA!N:N)</f>
        <v>0</v>
      </c>
      <c r="D152" s="12">
        <f>SUMIF('FLUXO DE CAIXA'!A:A,Tabela57[[#This Row],[DATA]],FUNCIONÁRIOS!E:E)+SUMIF('COMPRA-MATERIAL'!A:A,Tabela57[[#This Row],[DATA]],'COMPRA-MATERIAL'!C:C)</f>
        <v>0</v>
      </c>
    </row>
    <row r="153" spans="1:4" x14ac:dyDescent="0.25">
      <c r="A153" s="8" t="str">
        <f t="shared" si="3"/>
        <v>maio</v>
      </c>
      <c r="B153" s="8">
        <v>46173</v>
      </c>
      <c r="C153">
        <f>SUMIF(AGENDA!B:B,Tabela57[DATA],AGENDA!L:L)+SUMIF(AGENDA!A:A,Tabela57[DATA],AGENDA!N:N)</f>
        <v>0</v>
      </c>
      <c r="D153" s="12">
        <f>SUMIF('FLUXO DE CAIXA'!A:A,Tabela57[[#This Row],[DATA]],FUNCIONÁRIOS!E:E)+SUMIF('COMPRA-MATERIAL'!A:A,Tabela57[[#This Row],[DATA]],'COMPRA-MATERIAL'!C:C)</f>
        <v>0</v>
      </c>
    </row>
    <row r="154" spans="1:4" x14ac:dyDescent="0.25">
      <c r="A154" s="8" t="str">
        <f t="shared" si="3"/>
        <v>junho</v>
      </c>
      <c r="B154" s="8">
        <v>46174</v>
      </c>
      <c r="C154">
        <f>SUMIF(AGENDA!B:B,Tabela57[DATA],AGENDA!L:L)+SUMIF(AGENDA!A:A,Tabela57[DATA],AGENDA!N:N)</f>
        <v>0</v>
      </c>
      <c r="D154" s="12">
        <f>SUMIF('FLUXO DE CAIXA'!A:A,Tabela57[[#This Row],[DATA]],FUNCIONÁRIOS!E:E)+SUMIF('COMPRA-MATERIAL'!A:A,Tabela57[[#This Row],[DATA]],'COMPRA-MATERIAL'!C:C)</f>
        <v>0</v>
      </c>
    </row>
    <row r="155" spans="1:4" x14ac:dyDescent="0.25">
      <c r="A155" s="8" t="str">
        <f t="shared" si="3"/>
        <v>junho</v>
      </c>
      <c r="B155" s="8">
        <v>46175</v>
      </c>
      <c r="C155">
        <f>SUMIF(AGENDA!B:B,Tabela57[DATA],AGENDA!L:L)+SUMIF(AGENDA!A:A,Tabela57[DATA],AGENDA!N:N)</f>
        <v>0</v>
      </c>
      <c r="D155" s="12">
        <f>SUMIF('FLUXO DE CAIXA'!A:A,Tabela57[[#This Row],[DATA]],FUNCIONÁRIOS!E:E)+SUMIF('COMPRA-MATERIAL'!A:A,Tabela57[[#This Row],[DATA]],'COMPRA-MATERIAL'!C:C)</f>
        <v>0</v>
      </c>
    </row>
    <row r="156" spans="1:4" x14ac:dyDescent="0.25">
      <c r="A156" s="8" t="str">
        <f t="shared" si="3"/>
        <v>junho</v>
      </c>
      <c r="B156" s="8">
        <v>46176</v>
      </c>
      <c r="C156">
        <f>SUMIF(AGENDA!B:B,Tabela57[DATA],AGENDA!L:L)+SUMIF(AGENDA!A:A,Tabela57[DATA],AGENDA!N:N)</f>
        <v>0</v>
      </c>
      <c r="D156" s="12">
        <f>SUMIF('FLUXO DE CAIXA'!A:A,Tabela57[[#This Row],[DATA]],FUNCIONÁRIOS!E:E)+SUMIF('COMPRA-MATERIAL'!A:A,Tabela57[[#This Row],[DATA]],'COMPRA-MATERIAL'!C:C)</f>
        <v>0</v>
      </c>
    </row>
    <row r="157" spans="1:4" x14ac:dyDescent="0.25">
      <c r="A157" s="8" t="str">
        <f t="shared" si="3"/>
        <v>junho</v>
      </c>
      <c r="B157" s="8">
        <v>46177</v>
      </c>
      <c r="C157">
        <f>SUMIF(AGENDA!B:B,Tabela57[DATA],AGENDA!L:L)+SUMIF(AGENDA!A:A,Tabela57[DATA],AGENDA!N:N)</f>
        <v>0</v>
      </c>
      <c r="D157" s="12">
        <f>SUMIF('FLUXO DE CAIXA'!A:A,Tabela57[[#This Row],[DATA]],FUNCIONÁRIOS!E:E)+SUMIF('COMPRA-MATERIAL'!A:A,Tabela57[[#This Row],[DATA]],'COMPRA-MATERIAL'!C:C)</f>
        <v>0</v>
      </c>
    </row>
    <row r="158" spans="1:4" x14ac:dyDescent="0.25">
      <c r="A158" s="8" t="str">
        <f t="shared" si="3"/>
        <v>junho</v>
      </c>
      <c r="B158" s="8">
        <v>46178</v>
      </c>
      <c r="C158">
        <f>SUMIF(AGENDA!B:B,Tabela57[DATA],AGENDA!L:L)+SUMIF(AGENDA!A:A,Tabela57[DATA],AGENDA!N:N)</f>
        <v>0</v>
      </c>
      <c r="D158" s="12">
        <f>SUMIF('FLUXO DE CAIXA'!A:A,Tabela57[[#This Row],[DATA]],FUNCIONÁRIOS!E:E)+SUMIF('COMPRA-MATERIAL'!A:A,Tabela57[[#This Row],[DATA]],'COMPRA-MATERIAL'!C:C)</f>
        <v>0</v>
      </c>
    </row>
    <row r="159" spans="1:4" x14ac:dyDescent="0.25">
      <c r="A159" s="8" t="str">
        <f t="shared" si="3"/>
        <v>junho</v>
      </c>
      <c r="B159" s="8">
        <v>46179</v>
      </c>
      <c r="C159">
        <f>SUMIF(AGENDA!B:B,Tabela57[DATA],AGENDA!L:L)+SUMIF(AGENDA!A:A,Tabela57[DATA],AGENDA!N:N)</f>
        <v>0</v>
      </c>
      <c r="D159" s="12">
        <f>SUMIF('FLUXO DE CAIXA'!A:A,Tabela57[[#This Row],[DATA]],FUNCIONÁRIOS!E:E)+SUMIF('COMPRA-MATERIAL'!A:A,Tabela57[[#This Row],[DATA]],'COMPRA-MATERIAL'!C:C)</f>
        <v>0</v>
      </c>
    </row>
    <row r="160" spans="1:4" x14ac:dyDescent="0.25">
      <c r="A160" s="8" t="str">
        <f t="shared" si="3"/>
        <v>junho</v>
      </c>
      <c r="B160" s="8">
        <v>46180</v>
      </c>
      <c r="C160">
        <f>SUMIF(AGENDA!B:B,Tabela57[DATA],AGENDA!L:L)+SUMIF(AGENDA!A:A,Tabela57[DATA],AGENDA!N:N)</f>
        <v>0</v>
      </c>
      <c r="D160" s="12">
        <f>SUMIF('FLUXO DE CAIXA'!A:A,Tabela57[[#This Row],[DATA]],FUNCIONÁRIOS!E:E)+SUMIF('COMPRA-MATERIAL'!A:A,Tabela57[[#This Row],[DATA]],'COMPRA-MATERIAL'!C:C)</f>
        <v>0</v>
      </c>
    </row>
    <row r="161" spans="1:4" x14ac:dyDescent="0.25">
      <c r="A161" s="8" t="str">
        <f t="shared" si="3"/>
        <v>junho</v>
      </c>
      <c r="B161" s="8">
        <v>46181</v>
      </c>
      <c r="C161">
        <f>SUMIF(AGENDA!B:B,Tabela57[DATA],AGENDA!L:L)+SUMIF(AGENDA!A:A,Tabela57[DATA],AGENDA!N:N)</f>
        <v>0</v>
      </c>
      <c r="D161" s="12">
        <f>SUMIF('FLUXO DE CAIXA'!A:A,Tabela57[[#This Row],[DATA]],FUNCIONÁRIOS!E:E)+SUMIF('COMPRA-MATERIAL'!A:A,Tabela57[[#This Row],[DATA]],'COMPRA-MATERIAL'!C:C)</f>
        <v>0</v>
      </c>
    </row>
    <row r="162" spans="1:4" x14ac:dyDescent="0.25">
      <c r="A162" s="8" t="str">
        <f t="shared" si="3"/>
        <v>junho</v>
      </c>
      <c r="B162" s="8">
        <v>46182</v>
      </c>
      <c r="C162">
        <f>SUMIF(AGENDA!B:B,Tabela57[DATA],AGENDA!L:L)+SUMIF(AGENDA!A:A,Tabela57[DATA],AGENDA!N:N)</f>
        <v>0</v>
      </c>
      <c r="D162" s="12">
        <f>SUMIF('FLUXO DE CAIXA'!A:A,Tabela57[[#This Row],[DATA]],FUNCIONÁRIOS!E:E)+SUMIF('COMPRA-MATERIAL'!A:A,Tabela57[[#This Row],[DATA]],'COMPRA-MATERIAL'!C:C)</f>
        <v>0</v>
      </c>
    </row>
    <row r="163" spans="1:4" x14ac:dyDescent="0.25">
      <c r="A163" s="8" t="str">
        <f t="shared" si="3"/>
        <v>junho</v>
      </c>
      <c r="B163" s="8">
        <v>46183</v>
      </c>
      <c r="C163">
        <f>SUMIF(AGENDA!B:B,Tabela57[DATA],AGENDA!L:L)+SUMIF(AGENDA!A:A,Tabela57[DATA],AGENDA!N:N)</f>
        <v>0</v>
      </c>
      <c r="D163" s="12">
        <f>SUMIF('FLUXO DE CAIXA'!A:A,Tabela57[[#This Row],[DATA]],FUNCIONÁRIOS!E:E)+SUMIF('COMPRA-MATERIAL'!A:A,Tabela57[[#This Row],[DATA]],'COMPRA-MATERIAL'!C:C)</f>
        <v>0</v>
      </c>
    </row>
    <row r="164" spans="1:4" x14ac:dyDescent="0.25">
      <c r="A164" s="8" t="str">
        <f t="shared" si="3"/>
        <v>junho</v>
      </c>
      <c r="B164" s="8">
        <v>46184</v>
      </c>
      <c r="C164">
        <f>SUMIF(AGENDA!B:B,Tabela57[DATA],AGENDA!L:L)+SUMIF(AGENDA!A:A,Tabela57[DATA],AGENDA!N:N)</f>
        <v>0</v>
      </c>
      <c r="D164" s="12">
        <f>SUMIF('FLUXO DE CAIXA'!A:A,Tabela57[[#This Row],[DATA]],FUNCIONÁRIOS!E:E)+SUMIF('COMPRA-MATERIAL'!A:A,Tabela57[[#This Row],[DATA]],'COMPRA-MATERIAL'!C:C)</f>
        <v>0</v>
      </c>
    </row>
    <row r="165" spans="1:4" x14ac:dyDescent="0.25">
      <c r="A165" s="8" t="str">
        <f t="shared" si="3"/>
        <v>junho</v>
      </c>
      <c r="B165" s="8">
        <v>46185</v>
      </c>
      <c r="C165">
        <f>SUMIF(AGENDA!B:B,Tabela57[DATA],AGENDA!L:L)+SUMIF(AGENDA!A:A,Tabela57[DATA],AGENDA!N:N)</f>
        <v>0</v>
      </c>
      <c r="D165" s="12">
        <f>SUMIF('FLUXO DE CAIXA'!A:A,Tabela57[[#This Row],[DATA]],FUNCIONÁRIOS!E:E)+SUMIF('COMPRA-MATERIAL'!A:A,Tabela57[[#This Row],[DATA]],'COMPRA-MATERIAL'!C:C)</f>
        <v>0</v>
      </c>
    </row>
    <row r="166" spans="1:4" x14ac:dyDescent="0.25">
      <c r="A166" s="8" t="str">
        <f t="shared" si="3"/>
        <v>junho</v>
      </c>
      <c r="B166" s="8">
        <v>46186</v>
      </c>
      <c r="C166">
        <f>SUMIF(AGENDA!B:B,Tabela57[DATA],AGENDA!L:L)+SUMIF(AGENDA!A:A,Tabela57[DATA],AGENDA!N:N)</f>
        <v>0</v>
      </c>
      <c r="D166" s="12">
        <f>SUMIF('FLUXO DE CAIXA'!A:A,Tabela57[[#This Row],[DATA]],FUNCIONÁRIOS!E:E)+SUMIF('COMPRA-MATERIAL'!A:A,Tabela57[[#This Row],[DATA]],'COMPRA-MATERIAL'!C:C)</f>
        <v>0</v>
      </c>
    </row>
    <row r="167" spans="1:4" x14ac:dyDescent="0.25">
      <c r="A167" s="8" t="str">
        <f t="shared" si="3"/>
        <v>junho</v>
      </c>
      <c r="B167" s="8">
        <v>46187</v>
      </c>
      <c r="C167">
        <f>SUMIF(AGENDA!B:B,Tabela57[DATA],AGENDA!L:L)+SUMIF(AGENDA!A:A,Tabela57[DATA],AGENDA!N:N)</f>
        <v>0</v>
      </c>
      <c r="D167" s="12">
        <f>SUMIF('FLUXO DE CAIXA'!A:A,Tabela57[[#This Row],[DATA]],FUNCIONÁRIOS!E:E)+SUMIF('COMPRA-MATERIAL'!A:A,Tabela57[[#This Row],[DATA]],'COMPRA-MATERIAL'!C:C)</f>
        <v>0</v>
      </c>
    </row>
    <row r="168" spans="1:4" x14ac:dyDescent="0.25">
      <c r="A168" s="8" t="str">
        <f t="shared" si="3"/>
        <v>junho</v>
      </c>
      <c r="B168" s="8">
        <v>46188</v>
      </c>
      <c r="C168">
        <f>SUMIF(AGENDA!B:B,Tabela57[DATA],AGENDA!L:L)+SUMIF(AGENDA!A:A,Tabela57[DATA],AGENDA!N:N)</f>
        <v>0</v>
      </c>
      <c r="D168" s="12">
        <f>SUMIF('FLUXO DE CAIXA'!A:A,Tabela57[[#This Row],[DATA]],FUNCIONÁRIOS!E:E)+SUMIF('COMPRA-MATERIAL'!A:A,Tabela57[[#This Row],[DATA]],'COMPRA-MATERIAL'!C:C)</f>
        <v>0</v>
      </c>
    </row>
    <row r="169" spans="1:4" x14ac:dyDescent="0.25">
      <c r="A169" s="8" t="str">
        <f t="shared" si="3"/>
        <v>junho</v>
      </c>
      <c r="B169" s="8">
        <v>46189</v>
      </c>
      <c r="C169">
        <f>SUMIF(AGENDA!B:B,Tabela57[DATA],AGENDA!L:L)+SUMIF(AGENDA!A:A,Tabela57[DATA],AGENDA!N:N)</f>
        <v>0</v>
      </c>
      <c r="D169" s="12">
        <f>SUMIF('FLUXO DE CAIXA'!A:A,Tabela57[[#This Row],[DATA]],FUNCIONÁRIOS!E:E)+SUMIF('COMPRA-MATERIAL'!A:A,Tabela57[[#This Row],[DATA]],'COMPRA-MATERIAL'!C:C)</f>
        <v>0</v>
      </c>
    </row>
    <row r="170" spans="1:4" x14ac:dyDescent="0.25">
      <c r="A170" s="8" t="str">
        <f t="shared" si="3"/>
        <v>junho</v>
      </c>
      <c r="B170" s="8">
        <v>46190</v>
      </c>
      <c r="C170">
        <f>SUMIF(AGENDA!B:B,Tabela57[DATA],AGENDA!L:L)+SUMIF(AGENDA!A:A,Tabela57[DATA],AGENDA!N:N)</f>
        <v>0</v>
      </c>
      <c r="D170" s="12">
        <f>SUMIF('FLUXO DE CAIXA'!A:A,Tabela57[[#This Row],[DATA]],FUNCIONÁRIOS!E:E)+SUMIF('COMPRA-MATERIAL'!A:A,Tabela57[[#This Row],[DATA]],'COMPRA-MATERIAL'!C:C)</f>
        <v>0</v>
      </c>
    </row>
    <row r="171" spans="1:4" x14ac:dyDescent="0.25">
      <c r="A171" s="8" t="str">
        <f t="shared" si="3"/>
        <v>junho</v>
      </c>
      <c r="B171" s="8">
        <v>46191</v>
      </c>
      <c r="C171">
        <f>SUMIF(AGENDA!B:B,Tabela57[DATA],AGENDA!L:L)+SUMIF(AGENDA!A:A,Tabela57[DATA],AGENDA!N:N)</f>
        <v>0</v>
      </c>
      <c r="D171" s="12">
        <f>SUMIF('FLUXO DE CAIXA'!A:A,Tabela57[[#This Row],[DATA]],FUNCIONÁRIOS!E:E)+SUMIF('COMPRA-MATERIAL'!A:A,Tabela57[[#This Row],[DATA]],'COMPRA-MATERIAL'!C:C)</f>
        <v>0</v>
      </c>
    </row>
    <row r="172" spans="1:4" x14ac:dyDescent="0.25">
      <c r="A172" s="8" t="str">
        <f t="shared" si="3"/>
        <v>junho</v>
      </c>
      <c r="B172" s="8">
        <v>46192</v>
      </c>
      <c r="C172">
        <f>SUMIF(AGENDA!B:B,Tabela57[DATA],AGENDA!L:L)+SUMIF(AGENDA!A:A,Tabela57[DATA],AGENDA!N:N)</f>
        <v>0</v>
      </c>
      <c r="D172" s="12">
        <f>SUMIF('FLUXO DE CAIXA'!A:A,Tabela57[[#This Row],[DATA]],FUNCIONÁRIOS!E:E)+SUMIF('COMPRA-MATERIAL'!A:A,Tabela57[[#This Row],[DATA]],'COMPRA-MATERIAL'!C:C)</f>
        <v>0</v>
      </c>
    </row>
    <row r="173" spans="1:4" x14ac:dyDescent="0.25">
      <c r="A173" s="8" t="str">
        <f t="shared" si="3"/>
        <v>junho</v>
      </c>
      <c r="B173" s="8">
        <v>46193</v>
      </c>
      <c r="C173">
        <f>SUMIF(AGENDA!B:B,Tabela57[DATA],AGENDA!L:L)+SUMIF(AGENDA!A:A,Tabela57[DATA],AGENDA!N:N)</f>
        <v>0</v>
      </c>
      <c r="D173" s="12">
        <f>SUMIF('FLUXO DE CAIXA'!A:A,Tabela57[[#This Row],[DATA]],FUNCIONÁRIOS!E:E)+SUMIF('COMPRA-MATERIAL'!A:A,Tabela57[[#This Row],[DATA]],'COMPRA-MATERIAL'!C:C)</f>
        <v>0</v>
      </c>
    </row>
    <row r="174" spans="1:4" x14ac:dyDescent="0.25">
      <c r="A174" s="8" t="str">
        <f t="shared" si="3"/>
        <v>junho</v>
      </c>
      <c r="B174" s="8">
        <v>46194</v>
      </c>
      <c r="C174">
        <f>SUMIF(AGENDA!B:B,Tabela57[DATA],AGENDA!L:L)+SUMIF(AGENDA!A:A,Tabela57[DATA],AGENDA!N:N)</f>
        <v>0</v>
      </c>
      <c r="D174" s="12">
        <f>SUMIF('FLUXO DE CAIXA'!A:A,Tabela57[[#This Row],[DATA]],FUNCIONÁRIOS!E:E)+SUMIF('COMPRA-MATERIAL'!A:A,Tabela57[[#This Row],[DATA]],'COMPRA-MATERIAL'!C:C)</f>
        <v>0</v>
      </c>
    </row>
    <row r="175" spans="1:4" x14ac:dyDescent="0.25">
      <c r="A175" s="8" t="str">
        <f t="shared" si="3"/>
        <v>junho</v>
      </c>
      <c r="B175" s="8">
        <v>46195</v>
      </c>
      <c r="C175">
        <f>SUMIF(AGENDA!B:B,Tabela57[DATA],AGENDA!L:L)+SUMIF(AGENDA!A:A,Tabela57[DATA],AGENDA!N:N)</f>
        <v>0</v>
      </c>
      <c r="D175" s="12">
        <f>SUMIF('FLUXO DE CAIXA'!A:A,Tabela57[[#This Row],[DATA]],FUNCIONÁRIOS!E:E)+SUMIF('COMPRA-MATERIAL'!A:A,Tabela57[[#This Row],[DATA]],'COMPRA-MATERIAL'!C:C)</f>
        <v>0</v>
      </c>
    </row>
    <row r="176" spans="1:4" x14ac:dyDescent="0.25">
      <c r="A176" s="8" t="str">
        <f t="shared" si="3"/>
        <v>junho</v>
      </c>
      <c r="B176" s="8">
        <v>46196</v>
      </c>
      <c r="C176">
        <f>SUMIF(AGENDA!B:B,Tabela57[DATA],AGENDA!L:L)+SUMIF(AGENDA!A:A,Tabela57[DATA],AGENDA!N:N)</f>
        <v>0</v>
      </c>
      <c r="D176" s="12">
        <f>SUMIF('FLUXO DE CAIXA'!A:A,Tabela57[[#This Row],[DATA]],FUNCIONÁRIOS!E:E)+SUMIF('COMPRA-MATERIAL'!A:A,Tabela57[[#This Row],[DATA]],'COMPRA-MATERIAL'!C:C)</f>
        <v>0</v>
      </c>
    </row>
    <row r="177" spans="1:4" x14ac:dyDescent="0.25">
      <c r="A177" s="8" t="str">
        <f t="shared" si="3"/>
        <v>junho</v>
      </c>
      <c r="B177" s="8">
        <v>46197</v>
      </c>
      <c r="C177">
        <f>SUMIF(AGENDA!B:B,Tabela57[DATA],AGENDA!L:L)+SUMIF(AGENDA!A:A,Tabela57[DATA],AGENDA!N:N)</f>
        <v>0</v>
      </c>
      <c r="D177" s="12">
        <f>SUMIF('FLUXO DE CAIXA'!A:A,Tabela57[[#This Row],[DATA]],FUNCIONÁRIOS!E:E)+SUMIF('COMPRA-MATERIAL'!A:A,Tabela57[[#This Row],[DATA]],'COMPRA-MATERIAL'!C:C)</f>
        <v>0</v>
      </c>
    </row>
    <row r="178" spans="1:4" x14ac:dyDescent="0.25">
      <c r="A178" s="8" t="str">
        <f t="shared" si="3"/>
        <v>junho</v>
      </c>
      <c r="B178" s="8">
        <v>46198</v>
      </c>
      <c r="C178">
        <f>SUMIF(AGENDA!B:B,Tabela57[DATA],AGENDA!L:L)+SUMIF(AGENDA!A:A,Tabela57[DATA],AGENDA!N:N)</f>
        <v>0</v>
      </c>
      <c r="D178" s="12">
        <f>SUMIF('FLUXO DE CAIXA'!A:A,Tabela57[[#This Row],[DATA]],FUNCIONÁRIOS!E:E)+SUMIF('COMPRA-MATERIAL'!A:A,Tabela57[[#This Row],[DATA]],'COMPRA-MATERIAL'!C:C)</f>
        <v>0</v>
      </c>
    </row>
    <row r="179" spans="1:4" x14ac:dyDescent="0.25">
      <c r="A179" s="8" t="str">
        <f t="shared" si="3"/>
        <v>junho</v>
      </c>
      <c r="B179" s="8">
        <v>46199</v>
      </c>
      <c r="C179">
        <f>SUMIF(AGENDA!B:B,Tabela57[DATA],AGENDA!L:L)+SUMIF(AGENDA!A:A,Tabela57[DATA],AGENDA!N:N)</f>
        <v>0</v>
      </c>
      <c r="D179" s="12">
        <f>SUMIF('FLUXO DE CAIXA'!A:A,Tabela57[[#This Row],[DATA]],FUNCIONÁRIOS!E:E)+SUMIF('COMPRA-MATERIAL'!A:A,Tabela57[[#This Row],[DATA]],'COMPRA-MATERIAL'!C:C)</f>
        <v>0</v>
      </c>
    </row>
    <row r="180" spans="1:4" x14ac:dyDescent="0.25">
      <c r="A180" s="8" t="str">
        <f t="shared" si="3"/>
        <v>junho</v>
      </c>
      <c r="B180" s="8">
        <v>46200</v>
      </c>
      <c r="C180">
        <f>SUMIF(AGENDA!B:B,Tabela57[DATA],AGENDA!L:L)+SUMIF(AGENDA!A:A,Tabela57[DATA],AGENDA!N:N)</f>
        <v>0</v>
      </c>
      <c r="D180" s="12">
        <f>SUMIF('FLUXO DE CAIXA'!A:A,Tabela57[[#This Row],[DATA]],FUNCIONÁRIOS!E:E)+SUMIF('COMPRA-MATERIAL'!A:A,Tabela57[[#This Row],[DATA]],'COMPRA-MATERIAL'!C:C)</f>
        <v>0</v>
      </c>
    </row>
    <row r="181" spans="1:4" x14ac:dyDescent="0.25">
      <c r="A181" s="8" t="str">
        <f t="shared" si="3"/>
        <v>junho</v>
      </c>
      <c r="B181" s="8">
        <v>46201</v>
      </c>
      <c r="C181">
        <f>SUMIF(AGENDA!B:B,Tabela57[DATA],AGENDA!L:L)+SUMIF(AGENDA!A:A,Tabela57[DATA],AGENDA!N:N)</f>
        <v>0</v>
      </c>
      <c r="D181" s="12">
        <f>SUMIF('FLUXO DE CAIXA'!A:A,Tabela57[[#This Row],[DATA]],FUNCIONÁRIOS!E:E)+SUMIF('COMPRA-MATERIAL'!A:A,Tabela57[[#This Row],[DATA]],'COMPRA-MATERIAL'!C:C)</f>
        <v>0</v>
      </c>
    </row>
    <row r="182" spans="1:4" x14ac:dyDescent="0.25">
      <c r="A182" s="8" t="str">
        <f t="shared" si="3"/>
        <v>junho</v>
      </c>
      <c r="B182" s="8">
        <v>46202</v>
      </c>
      <c r="C182">
        <f>SUMIF(AGENDA!B:B,Tabela57[DATA],AGENDA!L:L)+SUMIF(AGENDA!A:A,Tabela57[DATA],AGENDA!N:N)</f>
        <v>0</v>
      </c>
      <c r="D182" s="12">
        <f>SUMIF('FLUXO DE CAIXA'!A:A,Tabela57[[#This Row],[DATA]],FUNCIONÁRIOS!E:E)+SUMIF('COMPRA-MATERIAL'!A:A,Tabela57[[#This Row],[DATA]],'COMPRA-MATERIAL'!C:C)</f>
        <v>0</v>
      </c>
    </row>
    <row r="183" spans="1:4" x14ac:dyDescent="0.25">
      <c r="A183" s="8" t="str">
        <f t="shared" si="3"/>
        <v>junho</v>
      </c>
      <c r="B183" s="8">
        <v>46203</v>
      </c>
      <c r="C183">
        <f>SUMIF(AGENDA!B:B,Tabela57[DATA],AGENDA!L:L)+SUMIF(AGENDA!A:A,Tabela57[DATA],AGENDA!N:N)</f>
        <v>0</v>
      </c>
      <c r="D183" s="12">
        <f>SUMIF('FLUXO DE CAIXA'!A:A,Tabela57[[#This Row],[DATA]],FUNCIONÁRIOS!E:E)+SUMIF('COMPRA-MATERIAL'!A:A,Tabela57[[#This Row],[DATA]],'COMPRA-MATERIAL'!C:C)</f>
        <v>0</v>
      </c>
    </row>
    <row r="184" spans="1:4" x14ac:dyDescent="0.25">
      <c r="A184" s="8" t="str">
        <f t="shared" si="3"/>
        <v>julho</v>
      </c>
      <c r="B184" s="8">
        <v>46204</v>
      </c>
      <c r="C184">
        <f>SUMIF(AGENDA!B:B,Tabela57[DATA],AGENDA!L:L)+SUMIF(AGENDA!A:A,Tabela57[DATA],AGENDA!N:N)</f>
        <v>0</v>
      </c>
      <c r="D184" s="12">
        <f>SUMIF('FLUXO DE CAIXA'!A:A,Tabela57[[#This Row],[DATA]],FUNCIONÁRIOS!E:E)+SUMIF('COMPRA-MATERIAL'!A:A,Tabela57[[#This Row],[DATA]],'COMPRA-MATERIAL'!C:C)</f>
        <v>0</v>
      </c>
    </row>
    <row r="185" spans="1:4" x14ac:dyDescent="0.25">
      <c r="A185" s="8" t="str">
        <f t="shared" si="3"/>
        <v>julho</v>
      </c>
      <c r="B185" s="8">
        <v>46205</v>
      </c>
      <c r="C185">
        <f>SUMIF(AGENDA!B:B,Tabela57[DATA],AGENDA!L:L)+SUMIF(AGENDA!A:A,Tabela57[DATA],AGENDA!N:N)</f>
        <v>0</v>
      </c>
      <c r="D185" s="12">
        <f>SUMIF('FLUXO DE CAIXA'!A:A,Tabela57[[#This Row],[DATA]],FUNCIONÁRIOS!E:E)+SUMIF('COMPRA-MATERIAL'!A:A,Tabela57[[#This Row],[DATA]],'COMPRA-MATERIAL'!C:C)</f>
        <v>0</v>
      </c>
    </row>
    <row r="186" spans="1:4" x14ac:dyDescent="0.25">
      <c r="A186" s="8" t="str">
        <f t="shared" si="3"/>
        <v>julho</v>
      </c>
      <c r="B186" s="8">
        <v>46206</v>
      </c>
      <c r="C186">
        <f>SUMIF(AGENDA!B:B,Tabela57[DATA],AGENDA!L:L)+SUMIF(AGENDA!A:A,Tabela57[DATA],AGENDA!N:N)</f>
        <v>0</v>
      </c>
      <c r="D186" s="12">
        <f>SUMIF('FLUXO DE CAIXA'!A:A,Tabela57[[#This Row],[DATA]],FUNCIONÁRIOS!E:E)+SUMIF('COMPRA-MATERIAL'!A:A,Tabela57[[#This Row],[DATA]],'COMPRA-MATERIAL'!C:C)</f>
        <v>0</v>
      </c>
    </row>
    <row r="187" spans="1:4" x14ac:dyDescent="0.25">
      <c r="A187" s="8" t="str">
        <f t="shared" si="3"/>
        <v>julho</v>
      </c>
      <c r="B187" s="8">
        <v>46207</v>
      </c>
      <c r="C187">
        <f>SUMIF(AGENDA!B:B,Tabela57[DATA],AGENDA!L:L)+SUMIF(AGENDA!A:A,Tabela57[DATA],AGENDA!N:N)</f>
        <v>0</v>
      </c>
      <c r="D187" s="12">
        <f>SUMIF('FLUXO DE CAIXA'!A:A,Tabela57[[#This Row],[DATA]],FUNCIONÁRIOS!E:E)+SUMIF('COMPRA-MATERIAL'!A:A,Tabela57[[#This Row],[DATA]],'COMPRA-MATERIAL'!C:C)</f>
        <v>0</v>
      </c>
    </row>
    <row r="188" spans="1:4" x14ac:dyDescent="0.25">
      <c r="A188" s="8" t="str">
        <f t="shared" si="3"/>
        <v>julho</v>
      </c>
      <c r="B188" s="8">
        <v>46208</v>
      </c>
      <c r="C188">
        <f>SUMIF(AGENDA!B:B,Tabela57[DATA],AGENDA!L:L)+SUMIF(AGENDA!A:A,Tabela57[DATA],AGENDA!N:N)</f>
        <v>0</v>
      </c>
      <c r="D188" s="12">
        <f>SUMIF('FLUXO DE CAIXA'!A:A,Tabela57[[#This Row],[DATA]],FUNCIONÁRIOS!E:E)+SUMIF('COMPRA-MATERIAL'!A:A,Tabela57[[#This Row],[DATA]],'COMPRA-MATERIAL'!C:C)</f>
        <v>0</v>
      </c>
    </row>
    <row r="189" spans="1:4" x14ac:dyDescent="0.25">
      <c r="A189" s="8" t="str">
        <f t="shared" si="3"/>
        <v>julho</v>
      </c>
      <c r="B189" s="8">
        <v>46209</v>
      </c>
      <c r="C189">
        <f>SUMIF(AGENDA!B:B,Tabela57[DATA],AGENDA!L:L)+SUMIF(AGENDA!A:A,Tabela57[DATA],AGENDA!N:N)</f>
        <v>0</v>
      </c>
      <c r="D189" s="12">
        <f>SUMIF('FLUXO DE CAIXA'!A:A,Tabela57[[#This Row],[DATA]],FUNCIONÁRIOS!E:E)+SUMIF('COMPRA-MATERIAL'!A:A,Tabela57[[#This Row],[DATA]],'COMPRA-MATERIAL'!C:C)</f>
        <v>0</v>
      </c>
    </row>
    <row r="190" spans="1:4" x14ac:dyDescent="0.25">
      <c r="A190" s="8" t="str">
        <f t="shared" si="3"/>
        <v>julho</v>
      </c>
      <c r="B190" s="8">
        <v>46210</v>
      </c>
      <c r="C190">
        <f>SUMIF(AGENDA!B:B,Tabela57[DATA],AGENDA!L:L)+SUMIF(AGENDA!A:A,Tabela57[DATA],AGENDA!N:N)</f>
        <v>0</v>
      </c>
      <c r="D190" s="12">
        <f>SUMIF('FLUXO DE CAIXA'!A:A,Tabela57[[#This Row],[DATA]],FUNCIONÁRIOS!E:E)+SUMIF('COMPRA-MATERIAL'!A:A,Tabela57[[#This Row],[DATA]],'COMPRA-MATERIAL'!C:C)</f>
        <v>0</v>
      </c>
    </row>
    <row r="191" spans="1:4" x14ac:dyDescent="0.25">
      <c r="A191" s="8" t="str">
        <f t="shared" si="3"/>
        <v>julho</v>
      </c>
      <c r="B191" s="8">
        <v>46211</v>
      </c>
      <c r="C191">
        <f>SUMIF(AGENDA!B:B,Tabela57[DATA],AGENDA!L:L)+SUMIF(AGENDA!A:A,Tabela57[DATA],AGENDA!N:N)</f>
        <v>0</v>
      </c>
      <c r="D191" s="12">
        <f>SUMIF('FLUXO DE CAIXA'!A:A,Tabela57[[#This Row],[DATA]],FUNCIONÁRIOS!E:E)+SUMIF('COMPRA-MATERIAL'!A:A,Tabela57[[#This Row],[DATA]],'COMPRA-MATERIAL'!C:C)</f>
        <v>0</v>
      </c>
    </row>
    <row r="192" spans="1:4" x14ac:dyDescent="0.25">
      <c r="A192" s="8" t="str">
        <f t="shared" si="3"/>
        <v>julho</v>
      </c>
      <c r="B192" s="8">
        <v>46212</v>
      </c>
      <c r="C192">
        <f>SUMIF(AGENDA!B:B,Tabela57[DATA],AGENDA!L:L)+SUMIF(AGENDA!A:A,Tabela57[DATA],AGENDA!N:N)</f>
        <v>0</v>
      </c>
      <c r="D192" s="12">
        <f>SUMIF('FLUXO DE CAIXA'!A:A,Tabela57[[#This Row],[DATA]],FUNCIONÁRIOS!E:E)+SUMIF('COMPRA-MATERIAL'!A:A,Tabela57[[#This Row],[DATA]],'COMPRA-MATERIAL'!C:C)</f>
        <v>0</v>
      </c>
    </row>
    <row r="193" spans="1:4" x14ac:dyDescent="0.25">
      <c r="A193" s="8" t="str">
        <f t="shared" si="3"/>
        <v>julho</v>
      </c>
      <c r="B193" s="8">
        <v>46213</v>
      </c>
      <c r="C193">
        <f>SUMIF(AGENDA!B:B,Tabela57[DATA],AGENDA!L:L)+SUMIF(AGENDA!A:A,Tabela57[DATA],AGENDA!N:N)</f>
        <v>0</v>
      </c>
      <c r="D193" s="12">
        <f>SUMIF('FLUXO DE CAIXA'!A:A,Tabela57[[#This Row],[DATA]],FUNCIONÁRIOS!E:E)+SUMIF('COMPRA-MATERIAL'!A:A,Tabela57[[#This Row],[DATA]],'COMPRA-MATERIAL'!C:C)</f>
        <v>0</v>
      </c>
    </row>
    <row r="194" spans="1:4" x14ac:dyDescent="0.25">
      <c r="A194" s="8" t="str">
        <f t="shared" si="3"/>
        <v>julho</v>
      </c>
      <c r="B194" s="8">
        <v>46214</v>
      </c>
      <c r="C194">
        <f>SUMIF(AGENDA!B:B,Tabela57[DATA],AGENDA!L:L)+SUMIF(AGENDA!A:A,Tabela57[DATA],AGENDA!N:N)</f>
        <v>0</v>
      </c>
      <c r="D194" s="12">
        <f>SUMIF('FLUXO DE CAIXA'!A:A,Tabela57[[#This Row],[DATA]],FUNCIONÁRIOS!E:E)+SUMIF('COMPRA-MATERIAL'!A:A,Tabela57[[#This Row],[DATA]],'COMPRA-MATERIAL'!C:C)</f>
        <v>0</v>
      </c>
    </row>
    <row r="195" spans="1:4" x14ac:dyDescent="0.25">
      <c r="A195" s="8" t="str">
        <f t="shared" si="3"/>
        <v>julho</v>
      </c>
      <c r="B195" s="8">
        <v>46215</v>
      </c>
      <c r="C195">
        <f>SUMIF(AGENDA!B:B,Tabela57[DATA],AGENDA!L:L)+SUMIF(AGENDA!A:A,Tabela57[DATA],AGENDA!N:N)</f>
        <v>0</v>
      </c>
      <c r="D195" s="12">
        <f>SUMIF('FLUXO DE CAIXA'!A:A,Tabela57[[#This Row],[DATA]],FUNCIONÁRIOS!E:E)+SUMIF('COMPRA-MATERIAL'!A:A,Tabela57[[#This Row],[DATA]],'COMPRA-MATERIAL'!C:C)</f>
        <v>0</v>
      </c>
    </row>
    <row r="196" spans="1:4" x14ac:dyDescent="0.25">
      <c r="A196" s="8" t="str">
        <f t="shared" si="3"/>
        <v>julho</v>
      </c>
      <c r="B196" s="8">
        <v>46216</v>
      </c>
      <c r="C196">
        <f>SUMIF(AGENDA!B:B,Tabela57[DATA],AGENDA!L:L)+SUMIF(AGENDA!A:A,Tabela57[DATA],AGENDA!N:N)</f>
        <v>0</v>
      </c>
      <c r="D196" s="12">
        <f>SUMIF('FLUXO DE CAIXA'!A:A,Tabela57[[#This Row],[DATA]],FUNCIONÁRIOS!E:E)+SUMIF('COMPRA-MATERIAL'!A:A,Tabela57[[#This Row],[DATA]],'COMPRA-MATERIAL'!C:C)</f>
        <v>0</v>
      </c>
    </row>
    <row r="197" spans="1:4" x14ac:dyDescent="0.25">
      <c r="A197" s="8" t="str">
        <f t="shared" si="3"/>
        <v>julho</v>
      </c>
      <c r="B197" s="8">
        <v>46217</v>
      </c>
      <c r="C197">
        <f>SUMIF(AGENDA!B:B,Tabela57[DATA],AGENDA!L:L)+SUMIF(AGENDA!A:A,Tabela57[DATA],AGENDA!N:N)</f>
        <v>0</v>
      </c>
      <c r="D197" s="12">
        <f>SUMIF('FLUXO DE CAIXA'!A:A,Tabela57[[#This Row],[DATA]],FUNCIONÁRIOS!E:E)+SUMIF('COMPRA-MATERIAL'!A:A,Tabela57[[#This Row],[DATA]],'COMPRA-MATERIAL'!C:C)</f>
        <v>0</v>
      </c>
    </row>
    <row r="198" spans="1:4" x14ac:dyDescent="0.25">
      <c r="A198" s="8" t="str">
        <f t="shared" si="3"/>
        <v>julho</v>
      </c>
      <c r="B198" s="8">
        <v>46218</v>
      </c>
      <c r="C198">
        <f>SUMIF(AGENDA!B:B,Tabela57[DATA],AGENDA!L:L)+SUMIF(AGENDA!A:A,Tabela57[DATA],AGENDA!N:N)</f>
        <v>0</v>
      </c>
      <c r="D198" s="12">
        <f>SUMIF('FLUXO DE CAIXA'!A:A,Tabela57[[#This Row],[DATA]],FUNCIONÁRIOS!E:E)+SUMIF('COMPRA-MATERIAL'!A:A,Tabela57[[#This Row],[DATA]],'COMPRA-MATERIAL'!C:C)</f>
        <v>0</v>
      </c>
    </row>
    <row r="199" spans="1:4" x14ac:dyDescent="0.25">
      <c r="A199" s="8" t="str">
        <f t="shared" si="3"/>
        <v>julho</v>
      </c>
      <c r="B199" s="8">
        <v>46219</v>
      </c>
      <c r="C199">
        <f>SUMIF(AGENDA!B:B,Tabela57[DATA],AGENDA!L:L)+SUMIF(AGENDA!A:A,Tabela57[DATA],AGENDA!N:N)</f>
        <v>0</v>
      </c>
      <c r="D199" s="12">
        <f>SUMIF('FLUXO DE CAIXA'!A:A,Tabela57[[#This Row],[DATA]],FUNCIONÁRIOS!E:E)+SUMIF('COMPRA-MATERIAL'!A:A,Tabela57[[#This Row],[DATA]],'COMPRA-MATERIAL'!C:C)</f>
        <v>0</v>
      </c>
    </row>
    <row r="200" spans="1:4" x14ac:dyDescent="0.25">
      <c r="A200" s="8" t="str">
        <f t="shared" si="3"/>
        <v>julho</v>
      </c>
      <c r="B200" s="8">
        <v>46220</v>
      </c>
      <c r="C200">
        <f>SUMIF(AGENDA!B:B,Tabela57[DATA],AGENDA!L:L)+SUMIF(AGENDA!A:A,Tabela57[DATA],AGENDA!N:N)</f>
        <v>0</v>
      </c>
      <c r="D200" s="12">
        <f>SUMIF('FLUXO DE CAIXA'!A:A,Tabela57[[#This Row],[DATA]],FUNCIONÁRIOS!E:E)+SUMIF('COMPRA-MATERIAL'!A:A,Tabela57[[#This Row],[DATA]],'COMPRA-MATERIAL'!C:C)</f>
        <v>0</v>
      </c>
    </row>
    <row r="201" spans="1:4" x14ac:dyDescent="0.25">
      <c r="A201" s="8" t="str">
        <f t="shared" si="3"/>
        <v>julho</v>
      </c>
      <c r="B201" s="8">
        <v>46221</v>
      </c>
      <c r="C201">
        <f>SUMIF(AGENDA!B:B,Tabela57[DATA],AGENDA!L:L)+SUMIF(AGENDA!A:A,Tabela57[DATA],AGENDA!N:N)</f>
        <v>0</v>
      </c>
      <c r="D201" s="12">
        <f>SUMIF('FLUXO DE CAIXA'!A:A,Tabela57[[#This Row],[DATA]],FUNCIONÁRIOS!E:E)+SUMIF('COMPRA-MATERIAL'!A:A,Tabela57[[#This Row],[DATA]],'COMPRA-MATERIAL'!C:C)</f>
        <v>0</v>
      </c>
    </row>
    <row r="202" spans="1:4" x14ac:dyDescent="0.25">
      <c r="A202" s="8" t="str">
        <f t="shared" si="3"/>
        <v>julho</v>
      </c>
      <c r="B202" s="8">
        <v>46222</v>
      </c>
      <c r="C202">
        <f>SUMIF(AGENDA!B:B,Tabela57[DATA],AGENDA!L:L)+SUMIF(AGENDA!A:A,Tabela57[DATA],AGENDA!N:N)</f>
        <v>0</v>
      </c>
      <c r="D202" s="12">
        <f>SUMIF('FLUXO DE CAIXA'!A:A,Tabela57[[#This Row],[DATA]],FUNCIONÁRIOS!E:E)+SUMIF('COMPRA-MATERIAL'!A:A,Tabela57[[#This Row],[DATA]],'COMPRA-MATERIAL'!C:C)</f>
        <v>0</v>
      </c>
    </row>
    <row r="203" spans="1:4" x14ac:dyDescent="0.25">
      <c r="A203" s="8" t="str">
        <f t="shared" si="3"/>
        <v>julho</v>
      </c>
      <c r="B203" s="8">
        <v>46223</v>
      </c>
      <c r="C203">
        <f>SUMIF(AGENDA!B:B,Tabela57[DATA],AGENDA!L:L)+SUMIF(AGENDA!A:A,Tabela57[DATA],AGENDA!N:N)</f>
        <v>0</v>
      </c>
      <c r="D203" s="12">
        <f>SUMIF('FLUXO DE CAIXA'!A:A,Tabela57[[#This Row],[DATA]],FUNCIONÁRIOS!E:E)+SUMIF('COMPRA-MATERIAL'!A:A,Tabela57[[#This Row],[DATA]],'COMPRA-MATERIAL'!C:C)</f>
        <v>0</v>
      </c>
    </row>
    <row r="204" spans="1:4" x14ac:dyDescent="0.25">
      <c r="A204" s="8" t="str">
        <f t="shared" si="3"/>
        <v>julho</v>
      </c>
      <c r="B204" s="8">
        <v>46224</v>
      </c>
      <c r="C204">
        <f>SUMIF(AGENDA!B:B,Tabela57[DATA],AGENDA!L:L)+SUMIF(AGENDA!A:A,Tabela57[DATA],AGENDA!N:N)</f>
        <v>0</v>
      </c>
      <c r="D204" s="12">
        <f>SUMIF('FLUXO DE CAIXA'!A:A,Tabela57[[#This Row],[DATA]],FUNCIONÁRIOS!E:E)+SUMIF('COMPRA-MATERIAL'!A:A,Tabela57[[#This Row],[DATA]],'COMPRA-MATERIAL'!C:C)</f>
        <v>0</v>
      </c>
    </row>
    <row r="205" spans="1:4" x14ac:dyDescent="0.25">
      <c r="A205" s="8" t="str">
        <f t="shared" si="3"/>
        <v>julho</v>
      </c>
      <c r="B205" s="8">
        <v>46225</v>
      </c>
      <c r="C205">
        <f>SUMIF(AGENDA!B:B,Tabela57[DATA],AGENDA!L:L)+SUMIF(AGENDA!A:A,Tabela57[DATA],AGENDA!N:N)</f>
        <v>0</v>
      </c>
      <c r="D205" s="12">
        <f>SUMIF('FLUXO DE CAIXA'!A:A,Tabela57[[#This Row],[DATA]],FUNCIONÁRIOS!E:E)+SUMIF('COMPRA-MATERIAL'!A:A,Tabela57[[#This Row],[DATA]],'COMPRA-MATERIAL'!C:C)</f>
        <v>0</v>
      </c>
    </row>
    <row r="206" spans="1:4" x14ac:dyDescent="0.25">
      <c r="A206" s="8" t="str">
        <f t="shared" si="3"/>
        <v>julho</v>
      </c>
      <c r="B206" s="8">
        <v>46226</v>
      </c>
      <c r="C206">
        <f>SUMIF(AGENDA!B:B,Tabela57[DATA],AGENDA!L:L)+SUMIF(AGENDA!A:A,Tabela57[DATA],AGENDA!N:N)</f>
        <v>0</v>
      </c>
      <c r="D206" s="12">
        <f>SUMIF('FLUXO DE CAIXA'!A:A,Tabela57[[#This Row],[DATA]],FUNCIONÁRIOS!E:E)+SUMIF('COMPRA-MATERIAL'!A:A,Tabela57[[#This Row],[DATA]],'COMPRA-MATERIAL'!C:C)</f>
        <v>0</v>
      </c>
    </row>
    <row r="207" spans="1:4" x14ac:dyDescent="0.25">
      <c r="A207" s="8" t="str">
        <f t="shared" si="3"/>
        <v>julho</v>
      </c>
      <c r="B207" s="8">
        <v>46227</v>
      </c>
      <c r="C207">
        <f>SUMIF(AGENDA!B:B,Tabela57[DATA],AGENDA!L:L)+SUMIF(AGENDA!A:A,Tabela57[DATA],AGENDA!N:N)</f>
        <v>0</v>
      </c>
      <c r="D207" s="12">
        <f>SUMIF('FLUXO DE CAIXA'!A:A,Tabela57[[#This Row],[DATA]],FUNCIONÁRIOS!E:E)+SUMIF('COMPRA-MATERIAL'!A:A,Tabela57[[#This Row],[DATA]],'COMPRA-MATERIAL'!C:C)</f>
        <v>0</v>
      </c>
    </row>
    <row r="208" spans="1:4" x14ac:dyDescent="0.25">
      <c r="A208" s="8" t="str">
        <f t="shared" si="3"/>
        <v>julho</v>
      </c>
      <c r="B208" s="8">
        <v>46228</v>
      </c>
      <c r="C208">
        <f>SUMIF(AGENDA!B:B,Tabela57[DATA],AGENDA!L:L)+SUMIF(AGENDA!A:A,Tabela57[DATA],AGENDA!N:N)</f>
        <v>0</v>
      </c>
      <c r="D208" s="12">
        <f>SUMIF('FLUXO DE CAIXA'!A:A,Tabela57[[#This Row],[DATA]],FUNCIONÁRIOS!E:E)+SUMIF('COMPRA-MATERIAL'!A:A,Tabela57[[#This Row],[DATA]],'COMPRA-MATERIAL'!C:C)</f>
        <v>0</v>
      </c>
    </row>
    <row r="209" spans="1:4" x14ac:dyDescent="0.25">
      <c r="A209" s="8" t="str">
        <f t="shared" si="3"/>
        <v>julho</v>
      </c>
      <c r="B209" s="8">
        <v>46229</v>
      </c>
      <c r="C209">
        <f>SUMIF(AGENDA!B:B,Tabela57[DATA],AGENDA!L:L)+SUMIF(AGENDA!A:A,Tabela57[DATA],AGENDA!N:N)</f>
        <v>0</v>
      </c>
      <c r="D209" s="12">
        <f>SUMIF('FLUXO DE CAIXA'!A:A,Tabela57[[#This Row],[DATA]],FUNCIONÁRIOS!E:E)+SUMIF('COMPRA-MATERIAL'!A:A,Tabela57[[#This Row],[DATA]],'COMPRA-MATERIAL'!C:C)</f>
        <v>0</v>
      </c>
    </row>
    <row r="210" spans="1:4" x14ac:dyDescent="0.25">
      <c r="A210" s="8" t="str">
        <f t="shared" si="3"/>
        <v>julho</v>
      </c>
      <c r="B210" s="8">
        <v>46230</v>
      </c>
      <c r="C210">
        <f>SUMIF(AGENDA!B:B,Tabela57[DATA],AGENDA!L:L)+SUMIF(AGENDA!A:A,Tabela57[DATA],AGENDA!N:N)</f>
        <v>0</v>
      </c>
      <c r="D210" s="12">
        <f>SUMIF('FLUXO DE CAIXA'!A:A,Tabela57[[#This Row],[DATA]],FUNCIONÁRIOS!E:E)+SUMIF('COMPRA-MATERIAL'!A:A,Tabela57[[#This Row],[DATA]],'COMPRA-MATERIAL'!C:C)</f>
        <v>0</v>
      </c>
    </row>
    <row r="211" spans="1:4" x14ac:dyDescent="0.25">
      <c r="A211" s="8" t="str">
        <f t="shared" si="3"/>
        <v>julho</v>
      </c>
      <c r="B211" s="8">
        <v>46231</v>
      </c>
      <c r="C211">
        <f>SUMIF(AGENDA!B:B,Tabela57[DATA],AGENDA!L:L)+SUMIF(AGENDA!A:A,Tabela57[DATA],AGENDA!N:N)</f>
        <v>0</v>
      </c>
      <c r="D211" s="12">
        <f>SUMIF('FLUXO DE CAIXA'!A:A,Tabela57[[#This Row],[DATA]],FUNCIONÁRIOS!E:E)+SUMIF('COMPRA-MATERIAL'!A:A,Tabela57[[#This Row],[DATA]],'COMPRA-MATERIAL'!C:C)</f>
        <v>0</v>
      </c>
    </row>
    <row r="212" spans="1:4" x14ac:dyDescent="0.25">
      <c r="A212" s="8" t="str">
        <f t="shared" si="3"/>
        <v>julho</v>
      </c>
      <c r="B212" s="8">
        <v>46232</v>
      </c>
      <c r="C212">
        <f>SUMIF(AGENDA!B:B,Tabela57[DATA],AGENDA!L:L)+SUMIF(AGENDA!A:A,Tabela57[DATA],AGENDA!N:N)</f>
        <v>0</v>
      </c>
      <c r="D212" s="12">
        <f>SUMIF('FLUXO DE CAIXA'!A:A,Tabela57[[#This Row],[DATA]],FUNCIONÁRIOS!E:E)+SUMIF('COMPRA-MATERIAL'!A:A,Tabela57[[#This Row],[DATA]],'COMPRA-MATERIAL'!C:C)</f>
        <v>0</v>
      </c>
    </row>
    <row r="213" spans="1:4" x14ac:dyDescent="0.25">
      <c r="A213" s="8" t="str">
        <f t="shared" si="3"/>
        <v>julho</v>
      </c>
      <c r="B213" s="8">
        <v>46233</v>
      </c>
      <c r="C213">
        <f>SUMIF(AGENDA!B:B,Tabela57[DATA],AGENDA!L:L)+SUMIF(AGENDA!A:A,Tabela57[DATA],AGENDA!N:N)</f>
        <v>0</v>
      </c>
      <c r="D213" s="12">
        <f>SUMIF('FLUXO DE CAIXA'!A:A,Tabela57[[#This Row],[DATA]],FUNCIONÁRIOS!E:E)+SUMIF('COMPRA-MATERIAL'!A:A,Tabela57[[#This Row],[DATA]],'COMPRA-MATERIAL'!C:C)</f>
        <v>0</v>
      </c>
    </row>
    <row r="214" spans="1:4" x14ac:dyDescent="0.25">
      <c r="A214" s="8" t="str">
        <f t="shared" ref="A214:A277" si="4">TEXT(B214,"MMMM")</f>
        <v>julho</v>
      </c>
      <c r="B214" s="8">
        <v>46234</v>
      </c>
      <c r="C214">
        <f>SUMIF(AGENDA!B:B,Tabela57[DATA],AGENDA!L:L)+SUMIF(AGENDA!A:A,Tabela57[DATA],AGENDA!N:N)</f>
        <v>0</v>
      </c>
      <c r="D214" s="12">
        <f>SUMIF('FLUXO DE CAIXA'!A:A,Tabela57[[#This Row],[DATA]],FUNCIONÁRIOS!E:E)+SUMIF('COMPRA-MATERIAL'!A:A,Tabela57[[#This Row],[DATA]],'COMPRA-MATERIAL'!C:C)</f>
        <v>0</v>
      </c>
    </row>
    <row r="215" spans="1:4" x14ac:dyDescent="0.25">
      <c r="A215" s="8" t="str">
        <f t="shared" si="4"/>
        <v>agosto</v>
      </c>
      <c r="B215" s="8">
        <v>46235</v>
      </c>
      <c r="C215">
        <f>SUMIF(AGENDA!B:B,Tabela57[DATA],AGENDA!L:L)+SUMIF(AGENDA!A:A,Tabela57[DATA],AGENDA!N:N)</f>
        <v>0</v>
      </c>
      <c r="D215" s="12">
        <f>SUMIF('FLUXO DE CAIXA'!A:A,Tabela57[[#This Row],[DATA]],FUNCIONÁRIOS!E:E)+SUMIF('COMPRA-MATERIAL'!A:A,Tabela57[[#This Row],[DATA]],'COMPRA-MATERIAL'!C:C)</f>
        <v>0</v>
      </c>
    </row>
    <row r="216" spans="1:4" x14ac:dyDescent="0.25">
      <c r="A216" s="8" t="str">
        <f t="shared" si="4"/>
        <v>agosto</v>
      </c>
      <c r="B216" s="8">
        <v>46236</v>
      </c>
      <c r="C216">
        <f>SUMIF(AGENDA!B:B,Tabela57[DATA],AGENDA!L:L)+SUMIF(AGENDA!A:A,Tabela57[DATA],AGENDA!N:N)</f>
        <v>0</v>
      </c>
      <c r="D216" s="12">
        <f>SUMIF('FLUXO DE CAIXA'!A:A,Tabela57[[#This Row],[DATA]],FUNCIONÁRIOS!E:E)+SUMIF('COMPRA-MATERIAL'!A:A,Tabela57[[#This Row],[DATA]],'COMPRA-MATERIAL'!C:C)</f>
        <v>0</v>
      </c>
    </row>
    <row r="217" spans="1:4" x14ac:dyDescent="0.25">
      <c r="A217" s="8" t="str">
        <f t="shared" si="4"/>
        <v>agosto</v>
      </c>
      <c r="B217" s="8">
        <v>46237</v>
      </c>
      <c r="C217">
        <f>SUMIF(AGENDA!B:B,Tabela57[DATA],AGENDA!L:L)+SUMIF(AGENDA!A:A,Tabela57[DATA],AGENDA!N:N)</f>
        <v>0</v>
      </c>
      <c r="D217" s="12">
        <f>SUMIF('FLUXO DE CAIXA'!A:A,Tabela57[[#This Row],[DATA]],FUNCIONÁRIOS!E:E)+SUMIF('COMPRA-MATERIAL'!A:A,Tabela57[[#This Row],[DATA]],'COMPRA-MATERIAL'!C:C)</f>
        <v>0</v>
      </c>
    </row>
    <row r="218" spans="1:4" x14ac:dyDescent="0.25">
      <c r="A218" s="8" t="str">
        <f t="shared" si="4"/>
        <v>agosto</v>
      </c>
      <c r="B218" s="8">
        <v>46238</v>
      </c>
      <c r="C218">
        <f>SUMIF(AGENDA!B:B,Tabela57[DATA],AGENDA!L:L)+SUMIF(AGENDA!A:A,Tabela57[DATA],AGENDA!N:N)</f>
        <v>0</v>
      </c>
      <c r="D218" s="12">
        <f>SUMIF('FLUXO DE CAIXA'!A:A,Tabela57[[#This Row],[DATA]],FUNCIONÁRIOS!E:E)+SUMIF('COMPRA-MATERIAL'!A:A,Tabela57[[#This Row],[DATA]],'COMPRA-MATERIAL'!C:C)</f>
        <v>0</v>
      </c>
    </row>
    <row r="219" spans="1:4" x14ac:dyDescent="0.25">
      <c r="A219" s="8" t="str">
        <f t="shared" si="4"/>
        <v>agosto</v>
      </c>
      <c r="B219" s="8">
        <v>46239</v>
      </c>
      <c r="C219">
        <f>SUMIF(AGENDA!B:B,Tabela57[DATA],AGENDA!L:L)+SUMIF(AGENDA!A:A,Tabela57[DATA],AGENDA!N:N)</f>
        <v>0</v>
      </c>
      <c r="D219" s="12">
        <f>SUMIF('FLUXO DE CAIXA'!A:A,Tabela57[[#This Row],[DATA]],FUNCIONÁRIOS!E:E)+SUMIF('COMPRA-MATERIAL'!A:A,Tabela57[[#This Row],[DATA]],'COMPRA-MATERIAL'!C:C)</f>
        <v>0</v>
      </c>
    </row>
    <row r="220" spans="1:4" x14ac:dyDescent="0.25">
      <c r="A220" s="8" t="str">
        <f t="shared" si="4"/>
        <v>agosto</v>
      </c>
      <c r="B220" s="8">
        <v>46240</v>
      </c>
      <c r="C220">
        <f>SUMIF(AGENDA!B:B,Tabela57[DATA],AGENDA!L:L)+SUMIF(AGENDA!A:A,Tabela57[DATA],AGENDA!N:N)</f>
        <v>0</v>
      </c>
      <c r="D220" s="12">
        <f>SUMIF('FLUXO DE CAIXA'!A:A,Tabela57[[#This Row],[DATA]],FUNCIONÁRIOS!E:E)+SUMIF('COMPRA-MATERIAL'!A:A,Tabela57[[#This Row],[DATA]],'COMPRA-MATERIAL'!C:C)</f>
        <v>0</v>
      </c>
    </row>
    <row r="221" spans="1:4" x14ac:dyDescent="0.25">
      <c r="A221" s="8" t="str">
        <f t="shared" si="4"/>
        <v>agosto</v>
      </c>
      <c r="B221" s="8">
        <v>46241</v>
      </c>
      <c r="C221">
        <f>SUMIF(AGENDA!B:B,Tabela57[DATA],AGENDA!L:L)+SUMIF(AGENDA!A:A,Tabela57[DATA],AGENDA!N:N)</f>
        <v>0</v>
      </c>
      <c r="D221" s="12">
        <f>SUMIF('FLUXO DE CAIXA'!A:A,Tabela57[[#This Row],[DATA]],FUNCIONÁRIOS!E:E)+SUMIF('COMPRA-MATERIAL'!A:A,Tabela57[[#This Row],[DATA]],'COMPRA-MATERIAL'!C:C)</f>
        <v>0</v>
      </c>
    </row>
    <row r="222" spans="1:4" x14ac:dyDescent="0.25">
      <c r="A222" s="8" t="str">
        <f t="shared" si="4"/>
        <v>agosto</v>
      </c>
      <c r="B222" s="8">
        <v>46242</v>
      </c>
      <c r="C222">
        <f>SUMIF(AGENDA!B:B,Tabela57[DATA],AGENDA!L:L)+SUMIF(AGENDA!A:A,Tabela57[DATA],AGENDA!N:N)</f>
        <v>0</v>
      </c>
      <c r="D222" s="12">
        <f>SUMIF('FLUXO DE CAIXA'!A:A,Tabela57[[#This Row],[DATA]],FUNCIONÁRIOS!E:E)+SUMIF('COMPRA-MATERIAL'!A:A,Tabela57[[#This Row],[DATA]],'COMPRA-MATERIAL'!C:C)</f>
        <v>0</v>
      </c>
    </row>
    <row r="223" spans="1:4" x14ac:dyDescent="0.25">
      <c r="A223" s="8" t="str">
        <f t="shared" si="4"/>
        <v>agosto</v>
      </c>
      <c r="B223" s="8">
        <v>46243</v>
      </c>
      <c r="C223">
        <f>SUMIF(AGENDA!B:B,Tabela57[DATA],AGENDA!L:L)+SUMIF(AGENDA!A:A,Tabela57[DATA],AGENDA!N:N)</f>
        <v>0</v>
      </c>
      <c r="D223" s="12">
        <f>SUMIF('FLUXO DE CAIXA'!A:A,Tabela57[[#This Row],[DATA]],FUNCIONÁRIOS!E:E)+SUMIF('COMPRA-MATERIAL'!A:A,Tabela57[[#This Row],[DATA]],'COMPRA-MATERIAL'!C:C)</f>
        <v>0</v>
      </c>
    </row>
    <row r="224" spans="1:4" x14ac:dyDescent="0.25">
      <c r="A224" s="8" t="str">
        <f t="shared" si="4"/>
        <v>agosto</v>
      </c>
      <c r="B224" s="8">
        <v>46244</v>
      </c>
      <c r="C224">
        <f>SUMIF(AGENDA!B:B,Tabela57[DATA],AGENDA!L:L)+SUMIF(AGENDA!A:A,Tabela57[DATA],AGENDA!N:N)</f>
        <v>0</v>
      </c>
      <c r="D224" s="12">
        <f>SUMIF('FLUXO DE CAIXA'!A:A,Tabela57[[#This Row],[DATA]],FUNCIONÁRIOS!E:E)+SUMIF('COMPRA-MATERIAL'!A:A,Tabela57[[#This Row],[DATA]],'COMPRA-MATERIAL'!C:C)</f>
        <v>0</v>
      </c>
    </row>
    <row r="225" spans="1:4" x14ac:dyDescent="0.25">
      <c r="A225" s="8" t="str">
        <f t="shared" si="4"/>
        <v>agosto</v>
      </c>
      <c r="B225" s="8">
        <v>46245</v>
      </c>
      <c r="C225">
        <f>SUMIF(AGENDA!B:B,Tabela57[DATA],AGENDA!L:L)+SUMIF(AGENDA!A:A,Tabela57[DATA],AGENDA!N:N)</f>
        <v>0</v>
      </c>
      <c r="D225" s="12">
        <f>SUMIF('FLUXO DE CAIXA'!A:A,Tabela57[[#This Row],[DATA]],FUNCIONÁRIOS!E:E)+SUMIF('COMPRA-MATERIAL'!A:A,Tabela57[[#This Row],[DATA]],'COMPRA-MATERIAL'!C:C)</f>
        <v>0</v>
      </c>
    </row>
    <row r="226" spans="1:4" x14ac:dyDescent="0.25">
      <c r="A226" s="8" t="str">
        <f t="shared" si="4"/>
        <v>agosto</v>
      </c>
      <c r="B226" s="8">
        <v>46246</v>
      </c>
      <c r="C226">
        <f>SUMIF(AGENDA!B:B,Tabela57[DATA],AGENDA!L:L)+SUMIF(AGENDA!A:A,Tabela57[DATA],AGENDA!N:N)</f>
        <v>0</v>
      </c>
      <c r="D226" s="12">
        <f>SUMIF('FLUXO DE CAIXA'!A:A,Tabela57[[#This Row],[DATA]],FUNCIONÁRIOS!E:E)+SUMIF('COMPRA-MATERIAL'!A:A,Tabela57[[#This Row],[DATA]],'COMPRA-MATERIAL'!C:C)</f>
        <v>0</v>
      </c>
    </row>
    <row r="227" spans="1:4" x14ac:dyDescent="0.25">
      <c r="A227" s="8" t="str">
        <f t="shared" si="4"/>
        <v>agosto</v>
      </c>
      <c r="B227" s="8">
        <v>46247</v>
      </c>
      <c r="C227">
        <f>SUMIF(AGENDA!B:B,Tabela57[DATA],AGENDA!L:L)+SUMIF(AGENDA!A:A,Tabela57[DATA],AGENDA!N:N)</f>
        <v>0</v>
      </c>
      <c r="D227" s="12">
        <f>SUMIF('FLUXO DE CAIXA'!A:A,Tabela57[[#This Row],[DATA]],FUNCIONÁRIOS!E:E)+SUMIF('COMPRA-MATERIAL'!A:A,Tabela57[[#This Row],[DATA]],'COMPRA-MATERIAL'!C:C)</f>
        <v>0</v>
      </c>
    </row>
    <row r="228" spans="1:4" x14ac:dyDescent="0.25">
      <c r="A228" s="8" t="str">
        <f t="shared" si="4"/>
        <v>agosto</v>
      </c>
      <c r="B228" s="8">
        <v>46248</v>
      </c>
      <c r="C228">
        <f>SUMIF(AGENDA!B:B,Tabela57[DATA],AGENDA!L:L)+SUMIF(AGENDA!A:A,Tabela57[DATA],AGENDA!N:N)</f>
        <v>0</v>
      </c>
      <c r="D228" s="12">
        <f>SUMIF('FLUXO DE CAIXA'!A:A,Tabela57[[#This Row],[DATA]],FUNCIONÁRIOS!E:E)+SUMIF('COMPRA-MATERIAL'!A:A,Tabela57[[#This Row],[DATA]],'COMPRA-MATERIAL'!C:C)</f>
        <v>0</v>
      </c>
    </row>
    <row r="229" spans="1:4" x14ac:dyDescent="0.25">
      <c r="A229" s="8" t="str">
        <f t="shared" si="4"/>
        <v>agosto</v>
      </c>
      <c r="B229" s="8">
        <v>46249</v>
      </c>
      <c r="C229">
        <f>SUMIF(AGENDA!B:B,Tabela57[DATA],AGENDA!L:L)+SUMIF(AGENDA!A:A,Tabela57[DATA],AGENDA!N:N)</f>
        <v>0</v>
      </c>
      <c r="D229" s="12">
        <f>SUMIF('FLUXO DE CAIXA'!A:A,Tabela57[[#This Row],[DATA]],FUNCIONÁRIOS!E:E)+SUMIF('COMPRA-MATERIAL'!A:A,Tabela57[[#This Row],[DATA]],'COMPRA-MATERIAL'!C:C)</f>
        <v>0</v>
      </c>
    </row>
    <row r="230" spans="1:4" x14ac:dyDescent="0.25">
      <c r="A230" s="8" t="str">
        <f t="shared" si="4"/>
        <v>agosto</v>
      </c>
      <c r="B230" s="8">
        <v>46250</v>
      </c>
      <c r="C230">
        <f>SUMIF(AGENDA!B:B,Tabela57[DATA],AGENDA!L:L)+SUMIF(AGENDA!A:A,Tabela57[DATA],AGENDA!N:N)</f>
        <v>0</v>
      </c>
      <c r="D230" s="12">
        <f>SUMIF('FLUXO DE CAIXA'!A:A,Tabela57[[#This Row],[DATA]],FUNCIONÁRIOS!E:E)+SUMIF('COMPRA-MATERIAL'!A:A,Tabela57[[#This Row],[DATA]],'COMPRA-MATERIAL'!C:C)</f>
        <v>0</v>
      </c>
    </row>
    <row r="231" spans="1:4" x14ac:dyDescent="0.25">
      <c r="A231" s="8" t="str">
        <f t="shared" si="4"/>
        <v>agosto</v>
      </c>
      <c r="B231" s="8">
        <v>46251</v>
      </c>
      <c r="C231">
        <f>SUMIF(AGENDA!B:B,Tabela57[DATA],AGENDA!L:L)+SUMIF(AGENDA!A:A,Tabela57[DATA],AGENDA!N:N)</f>
        <v>0</v>
      </c>
      <c r="D231" s="12">
        <f>SUMIF('FLUXO DE CAIXA'!A:A,Tabela57[[#This Row],[DATA]],FUNCIONÁRIOS!E:E)+SUMIF('COMPRA-MATERIAL'!A:A,Tabela57[[#This Row],[DATA]],'COMPRA-MATERIAL'!C:C)</f>
        <v>0</v>
      </c>
    </row>
    <row r="232" spans="1:4" x14ac:dyDescent="0.25">
      <c r="A232" s="8" t="str">
        <f t="shared" si="4"/>
        <v>agosto</v>
      </c>
      <c r="B232" s="8">
        <v>46252</v>
      </c>
      <c r="C232">
        <f>SUMIF(AGENDA!B:B,Tabela57[DATA],AGENDA!L:L)+SUMIF(AGENDA!A:A,Tabela57[DATA],AGENDA!N:N)</f>
        <v>0</v>
      </c>
      <c r="D232" s="12">
        <f>SUMIF('FLUXO DE CAIXA'!A:A,Tabela57[[#This Row],[DATA]],FUNCIONÁRIOS!E:E)+SUMIF('COMPRA-MATERIAL'!A:A,Tabela57[[#This Row],[DATA]],'COMPRA-MATERIAL'!C:C)</f>
        <v>0</v>
      </c>
    </row>
    <row r="233" spans="1:4" x14ac:dyDescent="0.25">
      <c r="A233" s="8" t="str">
        <f t="shared" si="4"/>
        <v>agosto</v>
      </c>
      <c r="B233" s="8">
        <v>46253</v>
      </c>
      <c r="C233">
        <f>SUMIF(AGENDA!B:B,Tabela57[DATA],AGENDA!L:L)+SUMIF(AGENDA!A:A,Tabela57[DATA],AGENDA!N:N)</f>
        <v>0</v>
      </c>
      <c r="D233" s="12">
        <f>SUMIF('FLUXO DE CAIXA'!A:A,Tabela57[[#This Row],[DATA]],FUNCIONÁRIOS!E:E)+SUMIF('COMPRA-MATERIAL'!A:A,Tabela57[[#This Row],[DATA]],'COMPRA-MATERIAL'!C:C)</f>
        <v>0</v>
      </c>
    </row>
    <row r="234" spans="1:4" x14ac:dyDescent="0.25">
      <c r="A234" s="8" t="str">
        <f t="shared" si="4"/>
        <v>agosto</v>
      </c>
      <c r="B234" s="8">
        <v>46254</v>
      </c>
      <c r="C234">
        <f>SUMIF(AGENDA!B:B,Tabela57[DATA],AGENDA!L:L)+SUMIF(AGENDA!A:A,Tabela57[DATA],AGENDA!N:N)</f>
        <v>0</v>
      </c>
      <c r="D234" s="12">
        <f>SUMIF('FLUXO DE CAIXA'!A:A,Tabela57[[#This Row],[DATA]],FUNCIONÁRIOS!E:E)+SUMIF('COMPRA-MATERIAL'!A:A,Tabela57[[#This Row],[DATA]],'COMPRA-MATERIAL'!C:C)</f>
        <v>0</v>
      </c>
    </row>
    <row r="235" spans="1:4" x14ac:dyDescent="0.25">
      <c r="A235" s="8" t="str">
        <f t="shared" si="4"/>
        <v>agosto</v>
      </c>
      <c r="B235" s="8">
        <v>46255</v>
      </c>
      <c r="C235">
        <f>SUMIF(AGENDA!B:B,Tabela57[DATA],AGENDA!L:L)+SUMIF(AGENDA!A:A,Tabela57[DATA],AGENDA!N:N)</f>
        <v>0</v>
      </c>
      <c r="D235" s="12">
        <f>SUMIF('FLUXO DE CAIXA'!A:A,Tabela57[[#This Row],[DATA]],FUNCIONÁRIOS!E:E)+SUMIF('COMPRA-MATERIAL'!A:A,Tabela57[[#This Row],[DATA]],'COMPRA-MATERIAL'!C:C)</f>
        <v>0</v>
      </c>
    </row>
    <row r="236" spans="1:4" x14ac:dyDescent="0.25">
      <c r="A236" s="8" t="str">
        <f t="shared" si="4"/>
        <v>agosto</v>
      </c>
      <c r="B236" s="8">
        <v>46256</v>
      </c>
      <c r="C236">
        <f>SUMIF(AGENDA!B:B,Tabela57[DATA],AGENDA!L:L)+SUMIF(AGENDA!A:A,Tabela57[DATA],AGENDA!N:N)</f>
        <v>0</v>
      </c>
      <c r="D236" s="12">
        <f>SUMIF('FLUXO DE CAIXA'!A:A,Tabela57[[#This Row],[DATA]],FUNCIONÁRIOS!E:E)+SUMIF('COMPRA-MATERIAL'!A:A,Tabela57[[#This Row],[DATA]],'COMPRA-MATERIAL'!C:C)</f>
        <v>0</v>
      </c>
    </row>
    <row r="237" spans="1:4" x14ac:dyDescent="0.25">
      <c r="A237" s="8" t="str">
        <f t="shared" si="4"/>
        <v>agosto</v>
      </c>
      <c r="B237" s="8">
        <v>46257</v>
      </c>
      <c r="C237">
        <f>SUMIF(AGENDA!B:B,Tabela57[DATA],AGENDA!L:L)+SUMIF(AGENDA!A:A,Tabela57[DATA],AGENDA!N:N)</f>
        <v>0</v>
      </c>
      <c r="D237" s="12">
        <f>SUMIF('FLUXO DE CAIXA'!A:A,Tabela57[[#This Row],[DATA]],FUNCIONÁRIOS!E:E)+SUMIF('COMPRA-MATERIAL'!A:A,Tabela57[[#This Row],[DATA]],'COMPRA-MATERIAL'!C:C)</f>
        <v>0</v>
      </c>
    </row>
    <row r="238" spans="1:4" x14ac:dyDescent="0.25">
      <c r="A238" s="8" t="str">
        <f t="shared" si="4"/>
        <v>agosto</v>
      </c>
      <c r="B238" s="8">
        <v>46258</v>
      </c>
      <c r="C238">
        <f>SUMIF(AGENDA!B:B,Tabela57[DATA],AGENDA!L:L)+SUMIF(AGENDA!A:A,Tabela57[DATA],AGENDA!N:N)</f>
        <v>0</v>
      </c>
      <c r="D238" s="12">
        <f>SUMIF('FLUXO DE CAIXA'!A:A,Tabela57[[#This Row],[DATA]],FUNCIONÁRIOS!E:E)+SUMIF('COMPRA-MATERIAL'!A:A,Tabela57[[#This Row],[DATA]],'COMPRA-MATERIAL'!C:C)</f>
        <v>0</v>
      </c>
    </row>
    <row r="239" spans="1:4" x14ac:dyDescent="0.25">
      <c r="A239" s="8" t="str">
        <f t="shared" si="4"/>
        <v>agosto</v>
      </c>
      <c r="B239" s="8">
        <v>46259</v>
      </c>
      <c r="C239">
        <f>SUMIF(AGENDA!B:B,Tabela57[DATA],AGENDA!L:L)+SUMIF(AGENDA!A:A,Tabela57[DATA],AGENDA!N:N)</f>
        <v>0</v>
      </c>
      <c r="D239" s="12">
        <f>SUMIF('FLUXO DE CAIXA'!A:A,Tabela57[[#This Row],[DATA]],FUNCIONÁRIOS!E:E)+SUMIF('COMPRA-MATERIAL'!A:A,Tabela57[[#This Row],[DATA]],'COMPRA-MATERIAL'!C:C)</f>
        <v>0</v>
      </c>
    </row>
    <row r="240" spans="1:4" x14ac:dyDescent="0.25">
      <c r="A240" s="8" t="str">
        <f t="shared" si="4"/>
        <v>agosto</v>
      </c>
      <c r="B240" s="8">
        <v>46260</v>
      </c>
      <c r="C240">
        <f>SUMIF(AGENDA!B:B,Tabela57[DATA],AGENDA!L:L)+SUMIF(AGENDA!A:A,Tabela57[DATA],AGENDA!N:N)</f>
        <v>0</v>
      </c>
      <c r="D240" s="12">
        <f>SUMIF('FLUXO DE CAIXA'!A:A,Tabela57[[#This Row],[DATA]],FUNCIONÁRIOS!E:E)+SUMIF('COMPRA-MATERIAL'!A:A,Tabela57[[#This Row],[DATA]],'COMPRA-MATERIAL'!C:C)</f>
        <v>0</v>
      </c>
    </row>
    <row r="241" spans="1:4" x14ac:dyDescent="0.25">
      <c r="A241" s="8" t="str">
        <f t="shared" si="4"/>
        <v>agosto</v>
      </c>
      <c r="B241" s="8">
        <v>46261</v>
      </c>
      <c r="C241">
        <f>SUMIF(AGENDA!B:B,Tabela57[DATA],AGENDA!L:L)+SUMIF(AGENDA!A:A,Tabela57[DATA],AGENDA!N:N)</f>
        <v>0</v>
      </c>
      <c r="D241" s="12">
        <f>SUMIF('FLUXO DE CAIXA'!A:A,Tabela57[[#This Row],[DATA]],FUNCIONÁRIOS!E:E)+SUMIF('COMPRA-MATERIAL'!A:A,Tabela57[[#This Row],[DATA]],'COMPRA-MATERIAL'!C:C)</f>
        <v>0</v>
      </c>
    </row>
    <row r="242" spans="1:4" x14ac:dyDescent="0.25">
      <c r="A242" s="8" t="str">
        <f t="shared" si="4"/>
        <v>agosto</v>
      </c>
      <c r="B242" s="8">
        <v>46262</v>
      </c>
      <c r="C242">
        <f>SUMIF(AGENDA!B:B,Tabela57[DATA],AGENDA!L:L)+SUMIF(AGENDA!A:A,Tabela57[DATA],AGENDA!N:N)</f>
        <v>0</v>
      </c>
      <c r="D242" s="12">
        <f>SUMIF('FLUXO DE CAIXA'!A:A,Tabela57[[#This Row],[DATA]],FUNCIONÁRIOS!E:E)+SUMIF('COMPRA-MATERIAL'!A:A,Tabela57[[#This Row],[DATA]],'COMPRA-MATERIAL'!C:C)</f>
        <v>0</v>
      </c>
    </row>
    <row r="243" spans="1:4" x14ac:dyDescent="0.25">
      <c r="A243" s="8" t="str">
        <f t="shared" si="4"/>
        <v>agosto</v>
      </c>
      <c r="B243" s="8">
        <v>46263</v>
      </c>
      <c r="C243">
        <f>SUMIF(AGENDA!B:B,Tabela57[DATA],AGENDA!L:L)+SUMIF(AGENDA!A:A,Tabela57[DATA],AGENDA!N:N)</f>
        <v>0</v>
      </c>
      <c r="D243" s="12">
        <f>SUMIF('FLUXO DE CAIXA'!A:A,Tabela57[[#This Row],[DATA]],FUNCIONÁRIOS!E:E)+SUMIF('COMPRA-MATERIAL'!A:A,Tabela57[[#This Row],[DATA]],'COMPRA-MATERIAL'!C:C)</f>
        <v>0</v>
      </c>
    </row>
    <row r="244" spans="1:4" x14ac:dyDescent="0.25">
      <c r="A244" s="8" t="str">
        <f t="shared" si="4"/>
        <v>agosto</v>
      </c>
      <c r="B244" s="8">
        <v>46264</v>
      </c>
      <c r="C244">
        <f>SUMIF(AGENDA!B:B,Tabela57[DATA],AGENDA!L:L)+SUMIF(AGENDA!A:A,Tabela57[DATA],AGENDA!N:N)</f>
        <v>0</v>
      </c>
      <c r="D244" s="12">
        <f>SUMIF('FLUXO DE CAIXA'!A:A,Tabela57[[#This Row],[DATA]],FUNCIONÁRIOS!E:E)+SUMIF('COMPRA-MATERIAL'!A:A,Tabela57[[#This Row],[DATA]],'COMPRA-MATERIAL'!C:C)</f>
        <v>0</v>
      </c>
    </row>
    <row r="245" spans="1:4" x14ac:dyDescent="0.25">
      <c r="A245" s="8" t="str">
        <f t="shared" si="4"/>
        <v>agosto</v>
      </c>
      <c r="B245" s="8">
        <v>46265</v>
      </c>
      <c r="C245">
        <f>SUMIF(AGENDA!B:B,Tabela57[DATA],AGENDA!L:L)+SUMIF(AGENDA!A:A,Tabela57[DATA],AGENDA!N:N)</f>
        <v>0</v>
      </c>
      <c r="D245" s="12">
        <f>SUMIF('FLUXO DE CAIXA'!A:A,Tabela57[[#This Row],[DATA]],FUNCIONÁRIOS!E:E)+SUMIF('COMPRA-MATERIAL'!A:A,Tabela57[[#This Row],[DATA]],'COMPRA-MATERIAL'!C:C)</f>
        <v>0</v>
      </c>
    </row>
    <row r="246" spans="1:4" x14ac:dyDescent="0.25">
      <c r="A246" s="8" t="str">
        <f t="shared" si="4"/>
        <v>setembro</v>
      </c>
      <c r="B246" s="8">
        <v>46266</v>
      </c>
      <c r="C246">
        <f>SUMIF(AGENDA!B:B,Tabela57[DATA],AGENDA!L:L)+SUMIF(AGENDA!A:A,Tabela57[DATA],AGENDA!N:N)</f>
        <v>0</v>
      </c>
      <c r="D246" s="12">
        <f>SUMIF('FLUXO DE CAIXA'!A:A,Tabela57[[#This Row],[DATA]],FUNCIONÁRIOS!E:E)+SUMIF('COMPRA-MATERIAL'!A:A,Tabela57[[#This Row],[DATA]],'COMPRA-MATERIAL'!C:C)</f>
        <v>0</v>
      </c>
    </row>
    <row r="247" spans="1:4" x14ac:dyDescent="0.25">
      <c r="A247" s="8" t="str">
        <f t="shared" si="4"/>
        <v>setembro</v>
      </c>
      <c r="B247" s="8">
        <v>46267</v>
      </c>
      <c r="C247">
        <f>SUMIF(AGENDA!B:B,Tabela57[DATA],AGENDA!L:L)+SUMIF(AGENDA!A:A,Tabela57[DATA],AGENDA!N:N)</f>
        <v>0</v>
      </c>
      <c r="D247" s="12">
        <f>SUMIF('FLUXO DE CAIXA'!A:A,Tabela57[[#This Row],[DATA]],FUNCIONÁRIOS!E:E)+SUMIF('COMPRA-MATERIAL'!A:A,Tabela57[[#This Row],[DATA]],'COMPRA-MATERIAL'!C:C)</f>
        <v>0</v>
      </c>
    </row>
    <row r="248" spans="1:4" x14ac:dyDescent="0.25">
      <c r="A248" s="8" t="str">
        <f t="shared" si="4"/>
        <v>setembro</v>
      </c>
      <c r="B248" s="8">
        <v>46268</v>
      </c>
      <c r="C248">
        <f>SUMIF(AGENDA!B:B,Tabela57[DATA],AGENDA!L:L)+SUMIF(AGENDA!A:A,Tabela57[DATA],AGENDA!N:N)</f>
        <v>0</v>
      </c>
      <c r="D248" s="12">
        <f>SUMIF('FLUXO DE CAIXA'!A:A,Tabela57[[#This Row],[DATA]],FUNCIONÁRIOS!E:E)+SUMIF('COMPRA-MATERIAL'!A:A,Tabela57[[#This Row],[DATA]],'COMPRA-MATERIAL'!C:C)</f>
        <v>0</v>
      </c>
    </row>
    <row r="249" spans="1:4" x14ac:dyDescent="0.25">
      <c r="A249" s="8" t="str">
        <f t="shared" si="4"/>
        <v>setembro</v>
      </c>
      <c r="B249" s="8">
        <v>46269</v>
      </c>
      <c r="C249">
        <f>SUMIF(AGENDA!B:B,Tabela57[DATA],AGENDA!L:L)+SUMIF(AGENDA!A:A,Tabela57[DATA],AGENDA!N:N)</f>
        <v>0</v>
      </c>
      <c r="D249" s="12">
        <f>SUMIF('FLUXO DE CAIXA'!A:A,Tabela57[[#This Row],[DATA]],FUNCIONÁRIOS!E:E)+SUMIF('COMPRA-MATERIAL'!A:A,Tabela57[[#This Row],[DATA]],'COMPRA-MATERIAL'!C:C)</f>
        <v>0</v>
      </c>
    </row>
    <row r="250" spans="1:4" x14ac:dyDescent="0.25">
      <c r="A250" s="8" t="str">
        <f t="shared" si="4"/>
        <v>setembro</v>
      </c>
      <c r="B250" s="8">
        <v>46270</v>
      </c>
      <c r="C250">
        <f>SUMIF(AGENDA!B:B,Tabela57[DATA],AGENDA!L:L)+SUMIF(AGENDA!A:A,Tabela57[DATA],AGENDA!N:N)</f>
        <v>0</v>
      </c>
      <c r="D250" s="12">
        <f>SUMIF('FLUXO DE CAIXA'!A:A,Tabela57[[#This Row],[DATA]],FUNCIONÁRIOS!E:E)+SUMIF('COMPRA-MATERIAL'!A:A,Tabela57[[#This Row],[DATA]],'COMPRA-MATERIAL'!C:C)</f>
        <v>0</v>
      </c>
    </row>
    <row r="251" spans="1:4" x14ac:dyDescent="0.25">
      <c r="A251" s="8" t="str">
        <f t="shared" si="4"/>
        <v>setembro</v>
      </c>
      <c r="B251" s="8">
        <v>46271</v>
      </c>
      <c r="C251">
        <f>SUMIF(AGENDA!B:B,Tabela57[DATA],AGENDA!L:L)+SUMIF(AGENDA!A:A,Tabela57[DATA],AGENDA!N:N)</f>
        <v>0</v>
      </c>
      <c r="D251" s="12">
        <f>SUMIF('FLUXO DE CAIXA'!A:A,Tabela57[[#This Row],[DATA]],FUNCIONÁRIOS!E:E)+SUMIF('COMPRA-MATERIAL'!A:A,Tabela57[[#This Row],[DATA]],'COMPRA-MATERIAL'!C:C)</f>
        <v>0</v>
      </c>
    </row>
    <row r="252" spans="1:4" x14ac:dyDescent="0.25">
      <c r="A252" s="8" t="str">
        <f t="shared" si="4"/>
        <v>setembro</v>
      </c>
      <c r="B252" s="8">
        <v>46272</v>
      </c>
      <c r="C252">
        <f>SUMIF(AGENDA!B:B,Tabela57[DATA],AGENDA!L:L)+SUMIF(AGENDA!A:A,Tabela57[DATA],AGENDA!N:N)</f>
        <v>0</v>
      </c>
      <c r="D252" s="12">
        <f>SUMIF('FLUXO DE CAIXA'!A:A,Tabela57[[#This Row],[DATA]],FUNCIONÁRIOS!E:E)+SUMIF('COMPRA-MATERIAL'!A:A,Tabela57[[#This Row],[DATA]],'COMPRA-MATERIAL'!C:C)</f>
        <v>0</v>
      </c>
    </row>
    <row r="253" spans="1:4" x14ac:dyDescent="0.25">
      <c r="A253" s="8" t="str">
        <f t="shared" si="4"/>
        <v>setembro</v>
      </c>
      <c r="B253" s="8">
        <v>46273</v>
      </c>
      <c r="C253">
        <f>SUMIF(AGENDA!B:B,Tabela57[DATA],AGENDA!L:L)+SUMIF(AGENDA!A:A,Tabela57[DATA],AGENDA!N:N)</f>
        <v>0</v>
      </c>
      <c r="D253" s="12">
        <f>SUMIF('FLUXO DE CAIXA'!A:A,Tabela57[[#This Row],[DATA]],FUNCIONÁRIOS!E:E)+SUMIF('COMPRA-MATERIAL'!A:A,Tabela57[[#This Row],[DATA]],'COMPRA-MATERIAL'!C:C)</f>
        <v>0</v>
      </c>
    </row>
    <row r="254" spans="1:4" x14ac:dyDescent="0.25">
      <c r="A254" s="8" t="str">
        <f t="shared" si="4"/>
        <v>setembro</v>
      </c>
      <c r="B254" s="8">
        <v>46274</v>
      </c>
      <c r="C254">
        <f>SUMIF(AGENDA!B:B,Tabela57[DATA],AGENDA!L:L)+SUMIF(AGENDA!A:A,Tabela57[DATA],AGENDA!N:N)</f>
        <v>0</v>
      </c>
      <c r="D254" s="12">
        <f>SUMIF('FLUXO DE CAIXA'!A:A,Tabela57[[#This Row],[DATA]],FUNCIONÁRIOS!E:E)+SUMIF('COMPRA-MATERIAL'!A:A,Tabela57[[#This Row],[DATA]],'COMPRA-MATERIAL'!C:C)</f>
        <v>0</v>
      </c>
    </row>
    <row r="255" spans="1:4" x14ac:dyDescent="0.25">
      <c r="A255" s="8" t="str">
        <f t="shared" si="4"/>
        <v>setembro</v>
      </c>
      <c r="B255" s="8">
        <v>46275</v>
      </c>
      <c r="C255">
        <f>SUMIF(AGENDA!B:B,Tabela57[DATA],AGENDA!L:L)+SUMIF(AGENDA!A:A,Tabela57[DATA],AGENDA!N:N)</f>
        <v>0</v>
      </c>
      <c r="D255" s="12">
        <f>SUMIF('FLUXO DE CAIXA'!A:A,Tabela57[[#This Row],[DATA]],FUNCIONÁRIOS!E:E)+SUMIF('COMPRA-MATERIAL'!A:A,Tabela57[[#This Row],[DATA]],'COMPRA-MATERIAL'!C:C)</f>
        <v>0</v>
      </c>
    </row>
    <row r="256" spans="1:4" x14ac:dyDescent="0.25">
      <c r="A256" s="8" t="str">
        <f t="shared" si="4"/>
        <v>setembro</v>
      </c>
      <c r="B256" s="8">
        <v>46276</v>
      </c>
      <c r="C256">
        <f>SUMIF(AGENDA!B:B,Tabela57[DATA],AGENDA!L:L)+SUMIF(AGENDA!A:A,Tabela57[DATA],AGENDA!N:N)</f>
        <v>0</v>
      </c>
      <c r="D256" s="12">
        <f>SUMIF('FLUXO DE CAIXA'!A:A,Tabela57[[#This Row],[DATA]],FUNCIONÁRIOS!E:E)+SUMIF('COMPRA-MATERIAL'!A:A,Tabela57[[#This Row],[DATA]],'COMPRA-MATERIAL'!C:C)</f>
        <v>0</v>
      </c>
    </row>
    <row r="257" spans="1:4" x14ac:dyDescent="0.25">
      <c r="A257" s="8" t="str">
        <f t="shared" si="4"/>
        <v>setembro</v>
      </c>
      <c r="B257" s="8">
        <v>46277</v>
      </c>
      <c r="C257">
        <f>SUMIF(AGENDA!B:B,Tabela57[DATA],AGENDA!L:L)+SUMIF(AGENDA!A:A,Tabela57[DATA],AGENDA!N:N)</f>
        <v>0</v>
      </c>
      <c r="D257" s="12">
        <f>SUMIF('FLUXO DE CAIXA'!A:A,Tabela57[[#This Row],[DATA]],FUNCIONÁRIOS!E:E)+SUMIF('COMPRA-MATERIAL'!A:A,Tabela57[[#This Row],[DATA]],'COMPRA-MATERIAL'!C:C)</f>
        <v>0</v>
      </c>
    </row>
    <row r="258" spans="1:4" x14ac:dyDescent="0.25">
      <c r="A258" s="8" t="str">
        <f t="shared" si="4"/>
        <v>setembro</v>
      </c>
      <c r="B258" s="8">
        <v>46278</v>
      </c>
      <c r="C258">
        <f>SUMIF(AGENDA!B:B,Tabela57[DATA],AGENDA!L:L)+SUMIF(AGENDA!A:A,Tabela57[DATA],AGENDA!N:N)</f>
        <v>0</v>
      </c>
      <c r="D258" s="12">
        <f>SUMIF('FLUXO DE CAIXA'!A:A,Tabela57[[#This Row],[DATA]],FUNCIONÁRIOS!E:E)+SUMIF('COMPRA-MATERIAL'!A:A,Tabela57[[#This Row],[DATA]],'COMPRA-MATERIAL'!C:C)</f>
        <v>0</v>
      </c>
    </row>
    <row r="259" spans="1:4" x14ac:dyDescent="0.25">
      <c r="A259" s="8" t="str">
        <f t="shared" si="4"/>
        <v>setembro</v>
      </c>
      <c r="B259" s="8">
        <v>46279</v>
      </c>
      <c r="C259">
        <f>SUMIF(AGENDA!B:B,Tabela57[DATA],AGENDA!L:L)+SUMIF(AGENDA!A:A,Tabela57[DATA],AGENDA!N:N)</f>
        <v>0</v>
      </c>
      <c r="D259" s="12">
        <f>SUMIF('FLUXO DE CAIXA'!A:A,Tabela57[[#This Row],[DATA]],FUNCIONÁRIOS!E:E)+SUMIF('COMPRA-MATERIAL'!A:A,Tabela57[[#This Row],[DATA]],'COMPRA-MATERIAL'!C:C)</f>
        <v>0</v>
      </c>
    </row>
    <row r="260" spans="1:4" x14ac:dyDescent="0.25">
      <c r="A260" s="8" t="str">
        <f t="shared" si="4"/>
        <v>setembro</v>
      </c>
      <c r="B260" s="8">
        <v>46280</v>
      </c>
      <c r="C260">
        <f>SUMIF(AGENDA!B:B,Tabela57[DATA],AGENDA!L:L)+SUMIF(AGENDA!A:A,Tabela57[DATA],AGENDA!N:N)</f>
        <v>0</v>
      </c>
      <c r="D260" s="12">
        <f>SUMIF('FLUXO DE CAIXA'!A:A,Tabela57[[#This Row],[DATA]],FUNCIONÁRIOS!E:E)+SUMIF('COMPRA-MATERIAL'!A:A,Tabela57[[#This Row],[DATA]],'COMPRA-MATERIAL'!C:C)</f>
        <v>0</v>
      </c>
    </row>
    <row r="261" spans="1:4" x14ac:dyDescent="0.25">
      <c r="A261" s="8" t="str">
        <f t="shared" si="4"/>
        <v>setembro</v>
      </c>
      <c r="B261" s="8">
        <v>46281</v>
      </c>
      <c r="C261">
        <f>SUMIF(AGENDA!B:B,Tabela57[DATA],AGENDA!L:L)+SUMIF(AGENDA!A:A,Tabela57[DATA],AGENDA!N:N)</f>
        <v>0</v>
      </c>
      <c r="D261" s="12">
        <f>SUMIF('FLUXO DE CAIXA'!A:A,Tabela57[[#This Row],[DATA]],FUNCIONÁRIOS!E:E)+SUMIF('COMPRA-MATERIAL'!A:A,Tabela57[[#This Row],[DATA]],'COMPRA-MATERIAL'!C:C)</f>
        <v>0</v>
      </c>
    </row>
    <row r="262" spans="1:4" x14ac:dyDescent="0.25">
      <c r="A262" s="8" t="str">
        <f t="shared" si="4"/>
        <v>setembro</v>
      </c>
      <c r="B262" s="8">
        <v>46282</v>
      </c>
      <c r="C262">
        <f>SUMIF(AGENDA!B:B,Tabela57[DATA],AGENDA!L:L)+SUMIF(AGENDA!A:A,Tabela57[DATA],AGENDA!N:N)</f>
        <v>0</v>
      </c>
      <c r="D262" s="12">
        <f>SUMIF('FLUXO DE CAIXA'!A:A,Tabela57[[#This Row],[DATA]],FUNCIONÁRIOS!E:E)+SUMIF('COMPRA-MATERIAL'!A:A,Tabela57[[#This Row],[DATA]],'COMPRA-MATERIAL'!C:C)</f>
        <v>0</v>
      </c>
    </row>
    <row r="263" spans="1:4" x14ac:dyDescent="0.25">
      <c r="A263" s="8" t="str">
        <f t="shared" si="4"/>
        <v>setembro</v>
      </c>
      <c r="B263" s="8">
        <v>46283</v>
      </c>
      <c r="C263">
        <f>SUMIF(AGENDA!B:B,Tabela57[DATA],AGENDA!L:L)+SUMIF(AGENDA!A:A,Tabela57[DATA],AGENDA!N:N)</f>
        <v>0</v>
      </c>
      <c r="D263" s="12">
        <f>SUMIF('FLUXO DE CAIXA'!A:A,Tabela57[[#This Row],[DATA]],FUNCIONÁRIOS!E:E)+SUMIF('COMPRA-MATERIAL'!A:A,Tabela57[[#This Row],[DATA]],'COMPRA-MATERIAL'!C:C)</f>
        <v>0</v>
      </c>
    </row>
    <row r="264" spans="1:4" x14ac:dyDescent="0.25">
      <c r="A264" s="8" t="str">
        <f t="shared" si="4"/>
        <v>setembro</v>
      </c>
      <c r="B264" s="8">
        <v>46284</v>
      </c>
      <c r="C264">
        <f>SUMIF(AGENDA!B:B,Tabela57[DATA],AGENDA!L:L)+SUMIF(AGENDA!A:A,Tabela57[DATA],AGENDA!N:N)</f>
        <v>0</v>
      </c>
      <c r="D264" s="12">
        <f>SUMIF('FLUXO DE CAIXA'!A:A,Tabela57[[#This Row],[DATA]],FUNCIONÁRIOS!E:E)+SUMIF('COMPRA-MATERIAL'!A:A,Tabela57[[#This Row],[DATA]],'COMPRA-MATERIAL'!C:C)</f>
        <v>0</v>
      </c>
    </row>
    <row r="265" spans="1:4" x14ac:dyDescent="0.25">
      <c r="A265" s="8" t="str">
        <f t="shared" si="4"/>
        <v>setembro</v>
      </c>
      <c r="B265" s="8">
        <v>46285</v>
      </c>
      <c r="C265">
        <f>SUMIF(AGENDA!B:B,Tabela57[DATA],AGENDA!L:L)+SUMIF(AGENDA!A:A,Tabela57[DATA],AGENDA!N:N)</f>
        <v>0</v>
      </c>
      <c r="D265" s="12">
        <f>SUMIF('FLUXO DE CAIXA'!A:A,Tabela57[[#This Row],[DATA]],FUNCIONÁRIOS!E:E)+SUMIF('COMPRA-MATERIAL'!A:A,Tabela57[[#This Row],[DATA]],'COMPRA-MATERIAL'!C:C)</f>
        <v>0</v>
      </c>
    </row>
    <row r="266" spans="1:4" x14ac:dyDescent="0.25">
      <c r="A266" s="8" t="str">
        <f t="shared" si="4"/>
        <v>setembro</v>
      </c>
      <c r="B266" s="8">
        <v>46286</v>
      </c>
      <c r="C266">
        <f>SUMIF(AGENDA!B:B,Tabela57[DATA],AGENDA!L:L)+SUMIF(AGENDA!A:A,Tabela57[DATA],AGENDA!N:N)</f>
        <v>0</v>
      </c>
      <c r="D266" s="12">
        <f>SUMIF('FLUXO DE CAIXA'!A:A,Tabela57[[#This Row],[DATA]],FUNCIONÁRIOS!E:E)+SUMIF('COMPRA-MATERIAL'!A:A,Tabela57[[#This Row],[DATA]],'COMPRA-MATERIAL'!C:C)</f>
        <v>0</v>
      </c>
    </row>
    <row r="267" spans="1:4" x14ac:dyDescent="0.25">
      <c r="A267" s="8" t="str">
        <f t="shared" si="4"/>
        <v>setembro</v>
      </c>
      <c r="B267" s="8">
        <v>46287</v>
      </c>
      <c r="C267">
        <f>SUMIF(AGENDA!B:B,Tabela57[DATA],AGENDA!L:L)+SUMIF(AGENDA!A:A,Tabela57[DATA],AGENDA!N:N)</f>
        <v>0</v>
      </c>
      <c r="D267" s="12">
        <f>SUMIF('FLUXO DE CAIXA'!A:A,Tabela57[[#This Row],[DATA]],FUNCIONÁRIOS!E:E)+SUMIF('COMPRA-MATERIAL'!A:A,Tabela57[[#This Row],[DATA]],'COMPRA-MATERIAL'!C:C)</f>
        <v>0</v>
      </c>
    </row>
    <row r="268" spans="1:4" x14ac:dyDescent="0.25">
      <c r="A268" s="8" t="str">
        <f t="shared" si="4"/>
        <v>setembro</v>
      </c>
      <c r="B268" s="8">
        <v>46288</v>
      </c>
      <c r="C268">
        <f>SUMIF(AGENDA!B:B,Tabela57[DATA],AGENDA!L:L)+SUMIF(AGENDA!A:A,Tabela57[DATA],AGENDA!N:N)</f>
        <v>0</v>
      </c>
      <c r="D268" s="12">
        <f>SUMIF('FLUXO DE CAIXA'!A:A,Tabela57[[#This Row],[DATA]],FUNCIONÁRIOS!E:E)+SUMIF('COMPRA-MATERIAL'!A:A,Tabela57[[#This Row],[DATA]],'COMPRA-MATERIAL'!C:C)</f>
        <v>0</v>
      </c>
    </row>
    <row r="269" spans="1:4" x14ac:dyDescent="0.25">
      <c r="A269" s="8" t="str">
        <f t="shared" si="4"/>
        <v>setembro</v>
      </c>
      <c r="B269" s="8">
        <v>46289</v>
      </c>
      <c r="C269">
        <f>SUMIF(AGENDA!B:B,Tabela57[DATA],AGENDA!L:L)+SUMIF(AGENDA!A:A,Tabela57[DATA],AGENDA!N:N)</f>
        <v>0</v>
      </c>
      <c r="D269" s="12">
        <f>SUMIF('FLUXO DE CAIXA'!A:A,Tabela57[[#This Row],[DATA]],FUNCIONÁRIOS!E:E)+SUMIF('COMPRA-MATERIAL'!A:A,Tabela57[[#This Row],[DATA]],'COMPRA-MATERIAL'!C:C)</f>
        <v>0</v>
      </c>
    </row>
    <row r="270" spans="1:4" x14ac:dyDescent="0.25">
      <c r="A270" s="8" t="str">
        <f t="shared" si="4"/>
        <v>setembro</v>
      </c>
      <c r="B270" s="8">
        <v>46290</v>
      </c>
      <c r="C270">
        <f>SUMIF(AGENDA!B:B,Tabela57[DATA],AGENDA!L:L)+SUMIF(AGENDA!A:A,Tabela57[DATA],AGENDA!N:N)</f>
        <v>0</v>
      </c>
      <c r="D270" s="12">
        <f>SUMIF('FLUXO DE CAIXA'!A:A,Tabela57[[#This Row],[DATA]],FUNCIONÁRIOS!E:E)+SUMIF('COMPRA-MATERIAL'!A:A,Tabela57[[#This Row],[DATA]],'COMPRA-MATERIAL'!C:C)</f>
        <v>0</v>
      </c>
    </row>
    <row r="271" spans="1:4" x14ac:dyDescent="0.25">
      <c r="A271" s="8" t="str">
        <f t="shared" si="4"/>
        <v>setembro</v>
      </c>
      <c r="B271" s="8">
        <v>46291</v>
      </c>
      <c r="C271">
        <f>SUMIF(AGENDA!B:B,Tabela57[DATA],AGENDA!L:L)+SUMIF(AGENDA!A:A,Tabela57[DATA],AGENDA!N:N)</f>
        <v>0</v>
      </c>
      <c r="D271" s="12">
        <f>SUMIF('FLUXO DE CAIXA'!A:A,Tabela57[[#This Row],[DATA]],FUNCIONÁRIOS!E:E)+SUMIF('COMPRA-MATERIAL'!A:A,Tabela57[[#This Row],[DATA]],'COMPRA-MATERIAL'!C:C)</f>
        <v>0</v>
      </c>
    </row>
    <row r="272" spans="1:4" x14ac:dyDescent="0.25">
      <c r="A272" s="8" t="str">
        <f t="shared" si="4"/>
        <v>setembro</v>
      </c>
      <c r="B272" s="8">
        <v>46292</v>
      </c>
      <c r="C272">
        <f>SUMIF(AGENDA!B:B,Tabela57[DATA],AGENDA!L:L)+SUMIF(AGENDA!A:A,Tabela57[DATA],AGENDA!N:N)</f>
        <v>0</v>
      </c>
      <c r="D272" s="12">
        <f>SUMIF('FLUXO DE CAIXA'!A:A,Tabela57[[#This Row],[DATA]],FUNCIONÁRIOS!E:E)+SUMIF('COMPRA-MATERIAL'!A:A,Tabela57[[#This Row],[DATA]],'COMPRA-MATERIAL'!C:C)</f>
        <v>0</v>
      </c>
    </row>
    <row r="273" spans="1:4" x14ac:dyDescent="0.25">
      <c r="A273" s="8" t="str">
        <f t="shared" si="4"/>
        <v>setembro</v>
      </c>
      <c r="B273" s="8">
        <v>46293</v>
      </c>
      <c r="C273">
        <f>SUMIF(AGENDA!B:B,Tabela57[DATA],AGENDA!L:L)+SUMIF(AGENDA!A:A,Tabela57[DATA],AGENDA!N:N)</f>
        <v>0</v>
      </c>
      <c r="D273" s="12">
        <f>SUMIF('FLUXO DE CAIXA'!A:A,Tabela57[[#This Row],[DATA]],FUNCIONÁRIOS!E:E)+SUMIF('COMPRA-MATERIAL'!A:A,Tabela57[[#This Row],[DATA]],'COMPRA-MATERIAL'!C:C)</f>
        <v>0</v>
      </c>
    </row>
    <row r="274" spans="1:4" x14ac:dyDescent="0.25">
      <c r="A274" s="8" t="str">
        <f t="shared" si="4"/>
        <v>setembro</v>
      </c>
      <c r="B274" s="8">
        <v>46294</v>
      </c>
      <c r="C274">
        <f>SUMIF(AGENDA!B:B,Tabela57[DATA],AGENDA!L:L)+SUMIF(AGENDA!A:A,Tabela57[DATA],AGENDA!N:N)</f>
        <v>0</v>
      </c>
      <c r="D274" s="12">
        <f>SUMIF('FLUXO DE CAIXA'!A:A,Tabela57[[#This Row],[DATA]],FUNCIONÁRIOS!E:E)+SUMIF('COMPRA-MATERIAL'!A:A,Tabela57[[#This Row],[DATA]],'COMPRA-MATERIAL'!C:C)</f>
        <v>0</v>
      </c>
    </row>
    <row r="275" spans="1:4" x14ac:dyDescent="0.25">
      <c r="A275" s="8" t="str">
        <f t="shared" si="4"/>
        <v>setembro</v>
      </c>
      <c r="B275" s="8">
        <v>46295</v>
      </c>
      <c r="C275">
        <f>SUMIF(AGENDA!B:B,Tabela57[DATA],AGENDA!L:L)+SUMIF(AGENDA!A:A,Tabela57[DATA],AGENDA!N:N)</f>
        <v>0</v>
      </c>
      <c r="D275" s="12">
        <f>SUMIF('FLUXO DE CAIXA'!A:A,Tabela57[[#This Row],[DATA]],FUNCIONÁRIOS!E:E)+SUMIF('COMPRA-MATERIAL'!A:A,Tabela57[[#This Row],[DATA]],'COMPRA-MATERIAL'!C:C)</f>
        <v>0</v>
      </c>
    </row>
    <row r="276" spans="1:4" x14ac:dyDescent="0.25">
      <c r="A276" s="8" t="str">
        <f t="shared" si="4"/>
        <v>outubro</v>
      </c>
      <c r="B276" s="8">
        <v>46296</v>
      </c>
      <c r="C276">
        <f>SUMIF(AGENDA!B:B,Tabela57[DATA],AGENDA!L:L)+SUMIF(AGENDA!A:A,Tabela57[DATA],AGENDA!N:N)</f>
        <v>0</v>
      </c>
      <c r="D276" s="12">
        <f>SUMIF('FLUXO DE CAIXA'!A:A,Tabela57[[#This Row],[DATA]],FUNCIONÁRIOS!E:E)+SUMIF('COMPRA-MATERIAL'!A:A,Tabela57[[#This Row],[DATA]],'COMPRA-MATERIAL'!C:C)</f>
        <v>0</v>
      </c>
    </row>
    <row r="277" spans="1:4" x14ac:dyDescent="0.25">
      <c r="A277" s="8" t="str">
        <f t="shared" si="4"/>
        <v>outubro</v>
      </c>
      <c r="B277" s="8">
        <v>46297</v>
      </c>
      <c r="C277">
        <f>SUMIF(AGENDA!B:B,Tabela57[DATA],AGENDA!L:L)+SUMIF(AGENDA!A:A,Tabela57[DATA],AGENDA!N:N)</f>
        <v>0</v>
      </c>
      <c r="D277" s="12">
        <f>SUMIF('FLUXO DE CAIXA'!A:A,Tabela57[[#This Row],[DATA]],FUNCIONÁRIOS!E:E)+SUMIF('COMPRA-MATERIAL'!A:A,Tabela57[[#This Row],[DATA]],'COMPRA-MATERIAL'!C:C)</f>
        <v>0</v>
      </c>
    </row>
    <row r="278" spans="1:4" x14ac:dyDescent="0.25">
      <c r="A278" s="8" t="str">
        <f t="shared" ref="A278:A341" si="5">TEXT(B278,"MMMM")</f>
        <v>outubro</v>
      </c>
      <c r="B278" s="8">
        <v>46298</v>
      </c>
      <c r="C278">
        <f>SUMIF(AGENDA!B:B,Tabela57[DATA],AGENDA!L:L)+SUMIF(AGENDA!A:A,Tabela57[DATA],AGENDA!N:N)</f>
        <v>0</v>
      </c>
      <c r="D278" s="12">
        <f>SUMIF('FLUXO DE CAIXA'!A:A,Tabela57[[#This Row],[DATA]],FUNCIONÁRIOS!E:E)+SUMIF('COMPRA-MATERIAL'!A:A,Tabela57[[#This Row],[DATA]],'COMPRA-MATERIAL'!C:C)</f>
        <v>0</v>
      </c>
    </row>
    <row r="279" spans="1:4" x14ac:dyDescent="0.25">
      <c r="A279" s="8" t="str">
        <f t="shared" si="5"/>
        <v>outubro</v>
      </c>
      <c r="B279" s="8">
        <v>46299</v>
      </c>
      <c r="C279">
        <f>SUMIF(AGENDA!B:B,Tabela57[DATA],AGENDA!L:L)+SUMIF(AGENDA!A:A,Tabela57[DATA],AGENDA!N:N)</f>
        <v>0</v>
      </c>
      <c r="D279" s="12">
        <f>SUMIF('FLUXO DE CAIXA'!A:A,Tabela57[[#This Row],[DATA]],FUNCIONÁRIOS!E:E)+SUMIF('COMPRA-MATERIAL'!A:A,Tabela57[[#This Row],[DATA]],'COMPRA-MATERIAL'!C:C)</f>
        <v>0</v>
      </c>
    </row>
    <row r="280" spans="1:4" x14ac:dyDescent="0.25">
      <c r="A280" s="8" t="str">
        <f t="shared" si="5"/>
        <v>outubro</v>
      </c>
      <c r="B280" s="8">
        <v>46300</v>
      </c>
      <c r="C280">
        <f>SUMIF(AGENDA!B:B,Tabela57[DATA],AGENDA!L:L)+SUMIF(AGENDA!A:A,Tabela57[DATA],AGENDA!N:N)</f>
        <v>0</v>
      </c>
      <c r="D280" s="12">
        <f>SUMIF('FLUXO DE CAIXA'!A:A,Tabela57[[#This Row],[DATA]],FUNCIONÁRIOS!E:E)+SUMIF('COMPRA-MATERIAL'!A:A,Tabela57[[#This Row],[DATA]],'COMPRA-MATERIAL'!C:C)</f>
        <v>0</v>
      </c>
    </row>
    <row r="281" spans="1:4" x14ac:dyDescent="0.25">
      <c r="A281" s="8" t="str">
        <f t="shared" si="5"/>
        <v>outubro</v>
      </c>
      <c r="B281" s="8">
        <v>46301</v>
      </c>
      <c r="C281">
        <f>SUMIF(AGENDA!B:B,Tabela57[DATA],AGENDA!L:L)+SUMIF(AGENDA!A:A,Tabela57[DATA],AGENDA!N:N)</f>
        <v>0</v>
      </c>
      <c r="D281" s="12">
        <f>SUMIF('FLUXO DE CAIXA'!A:A,Tabela57[[#This Row],[DATA]],FUNCIONÁRIOS!E:E)+SUMIF('COMPRA-MATERIAL'!A:A,Tabela57[[#This Row],[DATA]],'COMPRA-MATERIAL'!C:C)</f>
        <v>0</v>
      </c>
    </row>
    <row r="282" spans="1:4" x14ac:dyDescent="0.25">
      <c r="A282" s="8" t="str">
        <f t="shared" si="5"/>
        <v>outubro</v>
      </c>
      <c r="B282" s="8">
        <v>46302</v>
      </c>
      <c r="C282">
        <f>SUMIF(AGENDA!B:B,Tabela57[DATA],AGENDA!L:L)+SUMIF(AGENDA!A:A,Tabela57[DATA],AGENDA!N:N)</f>
        <v>0</v>
      </c>
      <c r="D282" s="12">
        <f>SUMIF('FLUXO DE CAIXA'!A:A,Tabela57[[#This Row],[DATA]],FUNCIONÁRIOS!E:E)+SUMIF('COMPRA-MATERIAL'!A:A,Tabela57[[#This Row],[DATA]],'COMPRA-MATERIAL'!C:C)</f>
        <v>0</v>
      </c>
    </row>
    <row r="283" spans="1:4" x14ac:dyDescent="0.25">
      <c r="A283" s="8" t="str">
        <f t="shared" si="5"/>
        <v>outubro</v>
      </c>
      <c r="B283" s="8">
        <v>46303</v>
      </c>
      <c r="C283">
        <f>SUMIF(AGENDA!B:B,Tabela57[DATA],AGENDA!L:L)+SUMIF(AGENDA!A:A,Tabela57[DATA],AGENDA!N:N)</f>
        <v>0</v>
      </c>
      <c r="D283" s="12">
        <f>SUMIF('FLUXO DE CAIXA'!A:A,Tabela57[[#This Row],[DATA]],FUNCIONÁRIOS!E:E)+SUMIF('COMPRA-MATERIAL'!A:A,Tabela57[[#This Row],[DATA]],'COMPRA-MATERIAL'!C:C)</f>
        <v>0</v>
      </c>
    </row>
    <row r="284" spans="1:4" x14ac:dyDescent="0.25">
      <c r="A284" s="8" t="str">
        <f t="shared" si="5"/>
        <v>outubro</v>
      </c>
      <c r="B284" s="8">
        <v>46304</v>
      </c>
      <c r="C284">
        <f>SUMIF(AGENDA!B:B,Tabela57[DATA],AGENDA!L:L)+SUMIF(AGENDA!A:A,Tabela57[DATA],AGENDA!N:N)</f>
        <v>0</v>
      </c>
      <c r="D284" s="12">
        <f>SUMIF('FLUXO DE CAIXA'!A:A,Tabela57[[#This Row],[DATA]],FUNCIONÁRIOS!E:E)+SUMIF('COMPRA-MATERIAL'!A:A,Tabela57[[#This Row],[DATA]],'COMPRA-MATERIAL'!C:C)</f>
        <v>0</v>
      </c>
    </row>
    <row r="285" spans="1:4" x14ac:dyDescent="0.25">
      <c r="A285" s="8" t="str">
        <f t="shared" si="5"/>
        <v>outubro</v>
      </c>
      <c r="B285" s="8">
        <v>46305</v>
      </c>
      <c r="C285">
        <f>SUMIF(AGENDA!B:B,Tabela57[DATA],AGENDA!L:L)+SUMIF(AGENDA!A:A,Tabela57[DATA],AGENDA!N:N)</f>
        <v>0</v>
      </c>
      <c r="D285" s="12">
        <f>SUMIF('FLUXO DE CAIXA'!A:A,Tabela57[[#This Row],[DATA]],FUNCIONÁRIOS!E:E)+SUMIF('COMPRA-MATERIAL'!A:A,Tabela57[[#This Row],[DATA]],'COMPRA-MATERIAL'!C:C)</f>
        <v>0</v>
      </c>
    </row>
    <row r="286" spans="1:4" x14ac:dyDescent="0.25">
      <c r="A286" s="8" t="str">
        <f t="shared" si="5"/>
        <v>outubro</v>
      </c>
      <c r="B286" s="8">
        <v>46306</v>
      </c>
      <c r="C286">
        <f>SUMIF(AGENDA!B:B,Tabela57[DATA],AGENDA!L:L)+SUMIF(AGENDA!A:A,Tabela57[DATA],AGENDA!N:N)</f>
        <v>0</v>
      </c>
      <c r="D286" s="12">
        <f>SUMIF('FLUXO DE CAIXA'!A:A,Tabela57[[#This Row],[DATA]],FUNCIONÁRIOS!E:E)+SUMIF('COMPRA-MATERIAL'!A:A,Tabela57[[#This Row],[DATA]],'COMPRA-MATERIAL'!C:C)</f>
        <v>0</v>
      </c>
    </row>
    <row r="287" spans="1:4" x14ac:dyDescent="0.25">
      <c r="A287" s="8" t="str">
        <f t="shared" si="5"/>
        <v>outubro</v>
      </c>
      <c r="B287" s="8">
        <v>46307</v>
      </c>
      <c r="C287">
        <f>SUMIF(AGENDA!B:B,Tabela57[DATA],AGENDA!L:L)+SUMIF(AGENDA!A:A,Tabela57[DATA],AGENDA!N:N)</f>
        <v>0</v>
      </c>
      <c r="D287" s="12">
        <f>SUMIF('FLUXO DE CAIXA'!A:A,Tabela57[[#This Row],[DATA]],FUNCIONÁRIOS!E:E)+SUMIF('COMPRA-MATERIAL'!A:A,Tabela57[[#This Row],[DATA]],'COMPRA-MATERIAL'!C:C)</f>
        <v>0</v>
      </c>
    </row>
    <row r="288" spans="1:4" x14ac:dyDescent="0.25">
      <c r="A288" s="8" t="str">
        <f t="shared" si="5"/>
        <v>outubro</v>
      </c>
      <c r="B288" s="8">
        <v>46308</v>
      </c>
      <c r="C288">
        <f>SUMIF(AGENDA!B:B,Tabela57[DATA],AGENDA!L:L)+SUMIF(AGENDA!A:A,Tabela57[DATA],AGENDA!N:N)</f>
        <v>0</v>
      </c>
      <c r="D288" s="12">
        <f>SUMIF('FLUXO DE CAIXA'!A:A,Tabela57[[#This Row],[DATA]],FUNCIONÁRIOS!E:E)+SUMIF('COMPRA-MATERIAL'!A:A,Tabela57[[#This Row],[DATA]],'COMPRA-MATERIAL'!C:C)</f>
        <v>0</v>
      </c>
    </row>
    <row r="289" spans="1:4" x14ac:dyDescent="0.25">
      <c r="A289" s="8" t="str">
        <f t="shared" si="5"/>
        <v>outubro</v>
      </c>
      <c r="B289" s="8">
        <v>46309</v>
      </c>
      <c r="C289">
        <f>SUMIF(AGENDA!B:B,Tabela57[DATA],AGENDA!L:L)+SUMIF(AGENDA!A:A,Tabela57[DATA],AGENDA!N:N)</f>
        <v>0</v>
      </c>
      <c r="D289" s="12">
        <f>SUMIF('FLUXO DE CAIXA'!A:A,Tabela57[[#This Row],[DATA]],FUNCIONÁRIOS!E:E)+SUMIF('COMPRA-MATERIAL'!A:A,Tabela57[[#This Row],[DATA]],'COMPRA-MATERIAL'!C:C)</f>
        <v>0</v>
      </c>
    </row>
    <row r="290" spans="1:4" x14ac:dyDescent="0.25">
      <c r="A290" s="8" t="str">
        <f t="shared" si="5"/>
        <v>outubro</v>
      </c>
      <c r="B290" s="8">
        <v>46310</v>
      </c>
      <c r="C290">
        <f>SUMIF(AGENDA!B:B,Tabela57[DATA],AGENDA!L:L)+SUMIF(AGENDA!A:A,Tabela57[DATA],AGENDA!N:N)</f>
        <v>0</v>
      </c>
      <c r="D290" s="12">
        <f>SUMIF('FLUXO DE CAIXA'!A:A,Tabela57[[#This Row],[DATA]],FUNCIONÁRIOS!E:E)+SUMIF('COMPRA-MATERIAL'!A:A,Tabela57[[#This Row],[DATA]],'COMPRA-MATERIAL'!C:C)</f>
        <v>0</v>
      </c>
    </row>
    <row r="291" spans="1:4" x14ac:dyDescent="0.25">
      <c r="A291" s="8" t="str">
        <f t="shared" si="5"/>
        <v>outubro</v>
      </c>
      <c r="B291" s="8">
        <v>46311</v>
      </c>
      <c r="C291">
        <f>SUMIF(AGENDA!B:B,Tabela57[DATA],AGENDA!L:L)+SUMIF(AGENDA!A:A,Tabela57[DATA],AGENDA!N:N)</f>
        <v>0</v>
      </c>
      <c r="D291" s="12">
        <f>SUMIF('FLUXO DE CAIXA'!A:A,Tabela57[[#This Row],[DATA]],FUNCIONÁRIOS!E:E)+SUMIF('COMPRA-MATERIAL'!A:A,Tabela57[[#This Row],[DATA]],'COMPRA-MATERIAL'!C:C)</f>
        <v>0</v>
      </c>
    </row>
    <row r="292" spans="1:4" x14ac:dyDescent="0.25">
      <c r="A292" s="8" t="str">
        <f t="shared" si="5"/>
        <v>outubro</v>
      </c>
      <c r="B292" s="8">
        <v>46312</v>
      </c>
      <c r="C292">
        <f>SUMIF(AGENDA!B:B,Tabela57[DATA],AGENDA!L:L)+SUMIF(AGENDA!A:A,Tabela57[DATA],AGENDA!N:N)</f>
        <v>0</v>
      </c>
      <c r="D292" s="12">
        <f>SUMIF('FLUXO DE CAIXA'!A:A,Tabela57[[#This Row],[DATA]],FUNCIONÁRIOS!E:E)+SUMIF('COMPRA-MATERIAL'!A:A,Tabela57[[#This Row],[DATA]],'COMPRA-MATERIAL'!C:C)</f>
        <v>0</v>
      </c>
    </row>
    <row r="293" spans="1:4" x14ac:dyDescent="0.25">
      <c r="A293" s="8" t="str">
        <f t="shared" si="5"/>
        <v>outubro</v>
      </c>
      <c r="B293" s="8">
        <v>46313</v>
      </c>
      <c r="C293">
        <f>SUMIF(AGENDA!B:B,Tabela57[DATA],AGENDA!L:L)+SUMIF(AGENDA!A:A,Tabela57[DATA],AGENDA!N:N)</f>
        <v>0</v>
      </c>
      <c r="D293" s="12">
        <f>SUMIF('FLUXO DE CAIXA'!A:A,Tabela57[[#This Row],[DATA]],FUNCIONÁRIOS!E:E)+SUMIF('COMPRA-MATERIAL'!A:A,Tabela57[[#This Row],[DATA]],'COMPRA-MATERIAL'!C:C)</f>
        <v>0</v>
      </c>
    </row>
    <row r="294" spans="1:4" x14ac:dyDescent="0.25">
      <c r="A294" s="8" t="str">
        <f t="shared" si="5"/>
        <v>outubro</v>
      </c>
      <c r="B294" s="8">
        <v>46314</v>
      </c>
      <c r="C294">
        <f>SUMIF(AGENDA!B:B,Tabela57[DATA],AGENDA!L:L)+SUMIF(AGENDA!A:A,Tabela57[DATA],AGENDA!N:N)</f>
        <v>0</v>
      </c>
      <c r="D294" s="12">
        <f>SUMIF('FLUXO DE CAIXA'!A:A,Tabela57[[#This Row],[DATA]],FUNCIONÁRIOS!E:E)+SUMIF('COMPRA-MATERIAL'!A:A,Tabela57[[#This Row],[DATA]],'COMPRA-MATERIAL'!C:C)</f>
        <v>0</v>
      </c>
    </row>
    <row r="295" spans="1:4" x14ac:dyDescent="0.25">
      <c r="A295" s="8" t="str">
        <f t="shared" si="5"/>
        <v>outubro</v>
      </c>
      <c r="B295" s="8">
        <v>46315</v>
      </c>
      <c r="C295">
        <f>SUMIF(AGENDA!B:B,Tabela57[DATA],AGENDA!L:L)+SUMIF(AGENDA!A:A,Tabela57[DATA],AGENDA!N:N)</f>
        <v>0</v>
      </c>
      <c r="D295" s="12">
        <f>SUMIF('FLUXO DE CAIXA'!A:A,Tabela57[[#This Row],[DATA]],FUNCIONÁRIOS!E:E)+SUMIF('COMPRA-MATERIAL'!A:A,Tabela57[[#This Row],[DATA]],'COMPRA-MATERIAL'!C:C)</f>
        <v>0</v>
      </c>
    </row>
    <row r="296" spans="1:4" x14ac:dyDescent="0.25">
      <c r="A296" s="8" t="str">
        <f t="shared" si="5"/>
        <v>outubro</v>
      </c>
      <c r="B296" s="8">
        <v>46316</v>
      </c>
      <c r="C296">
        <f>SUMIF(AGENDA!B:B,Tabela57[DATA],AGENDA!L:L)+SUMIF(AGENDA!A:A,Tabela57[DATA],AGENDA!N:N)</f>
        <v>0</v>
      </c>
      <c r="D296" s="12">
        <f>SUMIF('FLUXO DE CAIXA'!A:A,Tabela57[[#This Row],[DATA]],FUNCIONÁRIOS!E:E)+SUMIF('COMPRA-MATERIAL'!A:A,Tabela57[[#This Row],[DATA]],'COMPRA-MATERIAL'!C:C)</f>
        <v>0</v>
      </c>
    </row>
    <row r="297" spans="1:4" x14ac:dyDescent="0.25">
      <c r="A297" s="8" t="str">
        <f t="shared" si="5"/>
        <v>outubro</v>
      </c>
      <c r="B297" s="8">
        <v>46317</v>
      </c>
      <c r="C297">
        <f>SUMIF(AGENDA!B:B,Tabela57[DATA],AGENDA!L:L)+SUMIF(AGENDA!A:A,Tabela57[DATA],AGENDA!N:N)</f>
        <v>0</v>
      </c>
      <c r="D297" s="12">
        <f>SUMIF('FLUXO DE CAIXA'!A:A,Tabela57[[#This Row],[DATA]],FUNCIONÁRIOS!E:E)+SUMIF('COMPRA-MATERIAL'!A:A,Tabela57[[#This Row],[DATA]],'COMPRA-MATERIAL'!C:C)</f>
        <v>0</v>
      </c>
    </row>
    <row r="298" spans="1:4" x14ac:dyDescent="0.25">
      <c r="A298" s="8" t="str">
        <f t="shared" si="5"/>
        <v>outubro</v>
      </c>
      <c r="B298" s="8">
        <v>46318</v>
      </c>
      <c r="C298">
        <f>SUMIF(AGENDA!B:B,Tabela57[DATA],AGENDA!L:L)+SUMIF(AGENDA!A:A,Tabela57[DATA],AGENDA!N:N)</f>
        <v>0</v>
      </c>
      <c r="D298" s="12">
        <f>SUMIF('FLUXO DE CAIXA'!A:A,Tabela57[[#This Row],[DATA]],FUNCIONÁRIOS!E:E)+SUMIF('COMPRA-MATERIAL'!A:A,Tabela57[[#This Row],[DATA]],'COMPRA-MATERIAL'!C:C)</f>
        <v>0</v>
      </c>
    </row>
    <row r="299" spans="1:4" x14ac:dyDescent="0.25">
      <c r="A299" s="8" t="str">
        <f t="shared" si="5"/>
        <v>outubro</v>
      </c>
      <c r="B299" s="8">
        <v>46319</v>
      </c>
      <c r="C299">
        <f>SUMIF(AGENDA!B:B,Tabela57[DATA],AGENDA!L:L)+SUMIF(AGENDA!A:A,Tabela57[DATA],AGENDA!N:N)</f>
        <v>0</v>
      </c>
      <c r="D299" s="12">
        <f>SUMIF('FLUXO DE CAIXA'!A:A,Tabela57[[#This Row],[DATA]],FUNCIONÁRIOS!E:E)+SUMIF('COMPRA-MATERIAL'!A:A,Tabela57[[#This Row],[DATA]],'COMPRA-MATERIAL'!C:C)</f>
        <v>0</v>
      </c>
    </row>
    <row r="300" spans="1:4" x14ac:dyDescent="0.25">
      <c r="A300" s="8" t="str">
        <f t="shared" si="5"/>
        <v>outubro</v>
      </c>
      <c r="B300" s="8">
        <v>46320</v>
      </c>
      <c r="C300">
        <f>SUMIF(AGENDA!B:B,Tabela57[DATA],AGENDA!L:L)+SUMIF(AGENDA!A:A,Tabela57[DATA],AGENDA!N:N)</f>
        <v>0</v>
      </c>
      <c r="D300" s="12">
        <f>SUMIF('FLUXO DE CAIXA'!A:A,Tabela57[[#This Row],[DATA]],FUNCIONÁRIOS!E:E)+SUMIF('COMPRA-MATERIAL'!A:A,Tabela57[[#This Row],[DATA]],'COMPRA-MATERIAL'!C:C)</f>
        <v>0</v>
      </c>
    </row>
    <row r="301" spans="1:4" x14ac:dyDescent="0.25">
      <c r="A301" s="8" t="str">
        <f t="shared" si="5"/>
        <v>outubro</v>
      </c>
      <c r="B301" s="8">
        <v>46321</v>
      </c>
      <c r="C301">
        <f>SUMIF(AGENDA!B:B,Tabela57[DATA],AGENDA!L:L)+SUMIF(AGENDA!A:A,Tabela57[DATA],AGENDA!N:N)</f>
        <v>0</v>
      </c>
      <c r="D301" s="12">
        <f>SUMIF('FLUXO DE CAIXA'!A:A,Tabela57[[#This Row],[DATA]],FUNCIONÁRIOS!E:E)+SUMIF('COMPRA-MATERIAL'!A:A,Tabela57[[#This Row],[DATA]],'COMPRA-MATERIAL'!C:C)</f>
        <v>0</v>
      </c>
    </row>
    <row r="302" spans="1:4" x14ac:dyDescent="0.25">
      <c r="A302" s="8" t="str">
        <f t="shared" si="5"/>
        <v>outubro</v>
      </c>
      <c r="B302" s="8">
        <v>46322</v>
      </c>
      <c r="C302">
        <f>SUMIF(AGENDA!B:B,Tabela57[DATA],AGENDA!L:L)+SUMIF(AGENDA!A:A,Tabela57[DATA],AGENDA!N:N)</f>
        <v>0</v>
      </c>
      <c r="D302" s="12">
        <f>SUMIF('FLUXO DE CAIXA'!A:A,Tabela57[[#This Row],[DATA]],FUNCIONÁRIOS!E:E)+SUMIF('COMPRA-MATERIAL'!A:A,Tabela57[[#This Row],[DATA]],'COMPRA-MATERIAL'!C:C)</f>
        <v>0</v>
      </c>
    </row>
    <row r="303" spans="1:4" x14ac:dyDescent="0.25">
      <c r="A303" s="8" t="str">
        <f t="shared" si="5"/>
        <v>outubro</v>
      </c>
      <c r="B303" s="8">
        <v>46323</v>
      </c>
      <c r="C303">
        <f>SUMIF(AGENDA!B:B,Tabela57[DATA],AGENDA!L:L)+SUMIF(AGENDA!A:A,Tabela57[DATA],AGENDA!N:N)</f>
        <v>0</v>
      </c>
      <c r="D303" s="12">
        <f>SUMIF('FLUXO DE CAIXA'!A:A,Tabela57[[#This Row],[DATA]],FUNCIONÁRIOS!E:E)+SUMIF('COMPRA-MATERIAL'!A:A,Tabela57[[#This Row],[DATA]],'COMPRA-MATERIAL'!C:C)</f>
        <v>0</v>
      </c>
    </row>
    <row r="304" spans="1:4" x14ac:dyDescent="0.25">
      <c r="A304" s="8" t="str">
        <f t="shared" si="5"/>
        <v>outubro</v>
      </c>
      <c r="B304" s="8">
        <v>46324</v>
      </c>
      <c r="C304">
        <f>SUMIF(AGENDA!B:B,Tabela57[DATA],AGENDA!L:L)+SUMIF(AGENDA!A:A,Tabela57[DATA],AGENDA!N:N)</f>
        <v>0</v>
      </c>
      <c r="D304" s="12">
        <f>SUMIF('FLUXO DE CAIXA'!A:A,Tabela57[[#This Row],[DATA]],FUNCIONÁRIOS!E:E)+SUMIF('COMPRA-MATERIAL'!A:A,Tabela57[[#This Row],[DATA]],'COMPRA-MATERIAL'!C:C)</f>
        <v>0</v>
      </c>
    </row>
    <row r="305" spans="1:4" x14ac:dyDescent="0.25">
      <c r="A305" s="8" t="str">
        <f t="shared" si="5"/>
        <v>outubro</v>
      </c>
      <c r="B305" s="8">
        <v>46325</v>
      </c>
      <c r="C305">
        <f>SUMIF(AGENDA!B:B,Tabela57[DATA],AGENDA!L:L)+SUMIF(AGENDA!A:A,Tabela57[DATA],AGENDA!N:N)</f>
        <v>0</v>
      </c>
      <c r="D305" s="12">
        <f>SUMIF('FLUXO DE CAIXA'!A:A,Tabela57[[#This Row],[DATA]],FUNCIONÁRIOS!E:E)+SUMIF('COMPRA-MATERIAL'!A:A,Tabela57[[#This Row],[DATA]],'COMPRA-MATERIAL'!C:C)</f>
        <v>0</v>
      </c>
    </row>
    <row r="306" spans="1:4" x14ac:dyDescent="0.25">
      <c r="A306" s="8" t="str">
        <f t="shared" si="5"/>
        <v>outubro</v>
      </c>
      <c r="B306" s="8">
        <v>46326</v>
      </c>
      <c r="C306">
        <f>SUMIF(AGENDA!B:B,Tabela57[DATA],AGENDA!L:L)+SUMIF(AGENDA!A:A,Tabela57[DATA],AGENDA!N:N)</f>
        <v>0</v>
      </c>
      <c r="D306" s="12">
        <f>SUMIF('FLUXO DE CAIXA'!A:A,Tabela57[[#This Row],[DATA]],FUNCIONÁRIOS!E:E)+SUMIF('COMPRA-MATERIAL'!A:A,Tabela57[[#This Row],[DATA]],'COMPRA-MATERIAL'!C:C)</f>
        <v>0</v>
      </c>
    </row>
    <row r="307" spans="1:4" x14ac:dyDescent="0.25">
      <c r="A307" s="8" t="str">
        <f t="shared" si="5"/>
        <v>novembro</v>
      </c>
      <c r="B307" s="8">
        <v>46327</v>
      </c>
      <c r="C307">
        <f>SUMIF(AGENDA!B:B,Tabela57[DATA],AGENDA!L:L)+SUMIF(AGENDA!A:A,Tabela57[DATA],AGENDA!N:N)</f>
        <v>0</v>
      </c>
      <c r="D307" s="12">
        <f>SUMIF('FLUXO DE CAIXA'!A:A,Tabela57[[#This Row],[DATA]],FUNCIONÁRIOS!E:E)+SUMIF('COMPRA-MATERIAL'!A:A,Tabela57[[#This Row],[DATA]],'COMPRA-MATERIAL'!C:C)</f>
        <v>0</v>
      </c>
    </row>
    <row r="308" spans="1:4" x14ac:dyDescent="0.25">
      <c r="A308" s="8" t="str">
        <f t="shared" si="5"/>
        <v>novembro</v>
      </c>
      <c r="B308" s="8">
        <v>46328</v>
      </c>
      <c r="C308">
        <f>SUMIF(AGENDA!B:B,Tabela57[DATA],AGENDA!L:L)+SUMIF(AGENDA!A:A,Tabela57[DATA],AGENDA!N:N)</f>
        <v>0</v>
      </c>
      <c r="D308" s="12">
        <f>SUMIF('FLUXO DE CAIXA'!A:A,Tabela57[[#This Row],[DATA]],FUNCIONÁRIOS!E:E)+SUMIF('COMPRA-MATERIAL'!A:A,Tabela57[[#This Row],[DATA]],'COMPRA-MATERIAL'!C:C)</f>
        <v>0</v>
      </c>
    </row>
    <row r="309" spans="1:4" x14ac:dyDescent="0.25">
      <c r="A309" s="8" t="str">
        <f t="shared" si="5"/>
        <v>novembro</v>
      </c>
      <c r="B309" s="8">
        <v>46329</v>
      </c>
      <c r="C309">
        <f>SUMIF(AGENDA!B:B,Tabela57[DATA],AGENDA!L:L)+SUMIF(AGENDA!A:A,Tabela57[DATA],AGENDA!N:N)</f>
        <v>0</v>
      </c>
      <c r="D309" s="12">
        <f>SUMIF('FLUXO DE CAIXA'!A:A,Tabela57[[#This Row],[DATA]],FUNCIONÁRIOS!E:E)+SUMIF('COMPRA-MATERIAL'!A:A,Tabela57[[#This Row],[DATA]],'COMPRA-MATERIAL'!C:C)</f>
        <v>0</v>
      </c>
    </row>
    <row r="310" spans="1:4" x14ac:dyDescent="0.25">
      <c r="A310" s="8" t="str">
        <f t="shared" si="5"/>
        <v>novembro</v>
      </c>
      <c r="B310" s="8">
        <v>46330</v>
      </c>
      <c r="C310">
        <f>SUMIF(AGENDA!B:B,Tabela57[DATA],AGENDA!L:L)+SUMIF(AGENDA!A:A,Tabela57[DATA],AGENDA!N:N)</f>
        <v>0</v>
      </c>
      <c r="D310" s="12">
        <f>SUMIF('FLUXO DE CAIXA'!A:A,Tabela57[[#This Row],[DATA]],FUNCIONÁRIOS!E:E)+SUMIF('COMPRA-MATERIAL'!A:A,Tabela57[[#This Row],[DATA]],'COMPRA-MATERIAL'!C:C)</f>
        <v>0</v>
      </c>
    </row>
    <row r="311" spans="1:4" x14ac:dyDescent="0.25">
      <c r="A311" s="8" t="str">
        <f t="shared" si="5"/>
        <v>novembro</v>
      </c>
      <c r="B311" s="8">
        <v>46331</v>
      </c>
      <c r="C311">
        <f>SUMIF(AGENDA!B:B,Tabela57[DATA],AGENDA!L:L)+SUMIF(AGENDA!A:A,Tabela57[DATA],AGENDA!N:N)</f>
        <v>0</v>
      </c>
      <c r="D311" s="12">
        <f>SUMIF('FLUXO DE CAIXA'!A:A,Tabela57[[#This Row],[DATA]],FUNCIONÁRIOS!E:E)+SUMIF('COMPRA-MATERIAL'!A:A,Tabela57[[#This Row],[DATA]],'COMPRA-MATERIAL'!C:C)</f>
        <v>0</v>
      </c>
    </row>
    <row r="312" spans="1:4" x14ac:dyDescent="0.25">
      <c r="A312" s="8" t="str">
        <f t="shared" si="5"/>
        <v>novembro</v>
      </c>
      <c r="B312" s="8">
        <v>46332</v>
      </c>
      <c r="C312">
        <f>SUMIF(AGENDA!B:B,Tabela57[DATA],AGENDA!L:L)+SUMIF(AGENDA!A:A,Tabela57[DATA],AGENDA!N:N)</f>
        <v>0</v>
      </c>
      <c r="D312" s="12">
        <f>SUMIF('FLUXO DE CAIXA'!A:A,Tabela57[[#This Row],[DATA]],FUNCIONÁRIOS!E:E)+SUMIF('COMPRA-MATERIAL'!A:A,Tabela57[[#This Row],[DATA]],'COMPRA-MATERIAL'!C:C)</f>
        <v>0</v>
      </c>
    </row>
    <row r="313" spans="1:4" x14ac:dyDescent="0.25">
      <c r="A313" s="8" t="str">
        <f t="shared" si="5"/>
        <v>novembro</v>
      </c>
      <c r="B313" s="8">
        <v>46333</v>
      </c>
      <c r="C313">
        <f>SUMIF(AGENDA!B:B,Tabela57[DATA],AGENDA!L:L)+SUMIF(AGENDA!A:A,Tabela57[DATA],AGENDA!N:N)</f>
        <v>0</v>
      </c>
      <c r="D313" s="12">
        <f>SUMIF('FLUXO DE CAIXA'!A:A,Tabela57[[#This Row],[DATA]],FUNCIONÁRIOS!E:E)+SUMIF('COMPRA-MATERIAL'!A:A,Tabela57[[#This Row],[DATA]],'COMPRA-MATERIAL'!C:C)</f>
        <v>0</v>
      </c>
    </row>
    <row r="314" spans="1:4" x14ac:dyDescent="0.25">
      <c r="A314" s="8" t="str">
        <f t="shared" si="5"/>
        <v>novembro</v>
      </c>
      <c r="B314" s="8">
        <v>46334</v>
      </c>
      <c r="C314">
        <f>SUMIF(AGENDA!B:B,Tabela57[DATA],AGENDA!L:L)+SUMIF(AGENDA!A:A,Tabela57[DATA],AGENDA!N:N)</f>
        <v>0</v>
      </c>
      <c r="D314" s="12">
        <f>SUMIF('FLUXO DE CAIXA'!A:A,Tabela57[[#This Row],[DATA]],FUNCIONÁRIOS!E:E)+SUMIF('COMPRA-MATERIAL'!A:A,Tabela57[[#This Row],[DATA]],'COMPRA-MATERIAL'!C:C)</f>
        <v>0</v>
      </c>
    </row>
    <row r="315" spans="1:4" x14ac:dyDescent="0.25">
      <c r="A315" s="8" t="str">
        <f t="shared" si="5"/>
        <v>novembro</v>
      </c>
      <c r="B315" s="8">
        <v>46335</v>
      </c>
      <c r="C315">
        <f>SUMIF(AGENDA!B:B,Tabela57[DATA],AGENDA!L:L)+SUMIF(AGENDA!A:A,Tabela57[DATA],AGENDA!N:N)</f>
        <v>0</v>
      </c>
      <c r="D315" s="12">
        <f>SUMIF('FLUXO DE CAIXA'!A:A,Tabela57[[#This Row],[DATA]],FUNCIONÁRIOS!E:E)+SUMIF('COMPRA-MATERIAL'!A:A,Tabela57[[#This Row],[DATA]],'COMPRA-MATERIAL'!C:C)</f>
        <v>0</v>
      </c>
    </row>
    <row r="316" spans="1:4" x14ac:dyDescent="0.25">
      <c r="A316" s="8" t="str">
        <f t="shared" si="5"/>
        <v>novembro</v>
      </c>
      <c r="B316" s="8">
        <v>46336</v>
      </c>
      <c r="C316">
        <f>SUMIF(AGENDA!B:B,Tabela57[DATA],AGENDA!L:L)+SUMIF(AGENDA!A:A,Tabela57[DATA],AGENDA!N:N)</f>
        <v>0</v>
      </c>
      <c r="D316" s="12">
        <f>SUMIF('FLUXO DE CAIXA'!A:A,Tabela57[[#This Row],[DATA]],FUNCIONÁRIOS!E:E)+SUMIF('COMPRA-MATERIAL'!A:A,Tabela57[[#This Row],[DATA]],'COMPRA-MATERIAL'!C:C)</f>
        <v>0</v>
      </c>
    </row>
    <row r="317" spans="1:4" x14ac:dyDescent="0.25">
      <c r="A317" s="8" t="str">
        <f t="shared" si="5"/>
        <v>novembro</v>
      </c>
      <c r="B317" s="8">
        <v>46337</v>
      </c>
      <c r="C317">
        <f>SUMIF(AGENDA!B:B,Tabela57[DATA],AGENDA!L:L)+SUMIF(AGENDA!A:A,Tabela57[DATA],AGENDA!N:N)</f>
        <v>0</v>
      </c>
      <c r="D317" s="12">
        <f>SUMIF('FLUXO DE CAIXA'!A:A,Tabela57[[#This Row],[DATA]],FUNCIONÁRIOS!E:E)+SUMIF('COMPRA-MATERIAL'!A:A,Tabela57[[#This Row],[DATA]],'COMPRA-MATERIAL'!C:C)</f>
        <v>0</v>
      </c>
    </row>
    <row r="318" spans="1:4" x14ac:dyDescent="0.25">
      <c r="A318" s="8" t="str">
        <f t="shared" si="5"/>
        <v>novembro</v>
      </c>
      <c r="B318" s="8">
        <v>46338</v>
      </c>
      <c r="C318">
        <f>SUMIF(AGENDA!B:B,Tabela57[DATA],AGENDA!L:L)+SUMIF(AGENDA!A:A,Tabela57[DATA],AGENDA!N:N)</f>
        <v>0</v>
      </c>
      <c r="D318" s="12">
        <f>SUMIF('FLUXO DE CAIXA'!A:A,Tabela57[[#This Row],[DATA]],FUNCIONÁRIOS!E:E)+SUMIF('COMPRA-MATERIAL'!A:A,Tabela57[[#This Row],[DATA]],'COMPRA-MATERIAL'!C:C)</f>
        <v>0</v>
      </c>
    </row>
    <row r="319" spans="1:4" x14ac:dyDescent="0.25">
      <c r="A319" s="8" t="str">
        <f t="shared" si="5"/>
        <v>novembro</v>
      </c>
      <c r="B319" s="8">
        <v>46339</v>
      </c>
      <c r="C319">
        <f>SUMIF(AGENDA!B:B,Tabela57[DATA],AGENDA!L:L)+SUMIF(AGENDA!A:A,Tabela57[DATA],AGENDA!N:N)</f>
        <v>0</v>
      </c>
      <c r="D319" s="12">
        <f>SUMIF('FLUXO DE CAIXA'!A:A,Tabela57[[#This Row],[DATA]],FUNCIONÁRIOS!E:E)+SUMIF('COMPRA-MATERIAL'!A:A,Tabela57[[#This Row],[DATA]],'COMPRA-MATERIAL'!C:C)</f>
        <v>0</v>
      </c>
    </row>
    <row r="320" spans="1:4" x14ac:dyDescent="0.25">
      <c r="A320" s="8" t="str">
        <f t="shared" si="5"/>
        <v>novembro</v>
      </c>
      <c r="B320" s="8">
        <v>46340</v>
      </c>
      <c r="C320">
        <f>SUMIF(AGENDA!B:B,Tabela57[DATA],AGENDA!L:L)+SUMIF(AGENDA!A:A,Tabela57[DATA],AGENDA!N:N)</f>
        <v>0</v>
      </c>
      <c r="D320" s="12">
        <f>SUMIF('FLUXO DE CAIXA'!A:A,Tabela57[[#This Row],[DATA]],FUNCIONÁRIOS!E:E)+SUMIF('COMPRA-MATERIAL'!A:A,Tabela57[[#This Row],[DATA]],'COMPRA-MATERIAL'!C:C)</f>
        <v>0</v>
      </c>
    </row>
    <row r="321" spans="1:4" x14ac:dyDescent="0.25">
      <c r="A321" s="8" t="str">
        <f t="shared" si="5"/>
        <v>novembro</v>
      </c>
      <c r="B321" s="8">
        <v>46341</v>
      </c>
      <c r="C321">
        <f>SUMIF(AGENDA!B:B,Tabela57[DATA],AGENDA!L:L)+SUMIF(AGENDA!A:A,Tabela57[DATA],AGENDA!N:N)</f>
        <v>0</v>
      </c>
      <c r="D321" s="12">
        <f>SUMIF('FLUXO DE CAIXA'!A:A,Tabela57[[#This Row],[DATA]],FUNCIONÁRIOS!E:E)+SUMIF('COMPRA-MATERIAL'!A:A,Tabela57[[#This Row],[DATA]],'COMPRA-MATERIAL'!C:C)</f>
        <v>0</v>
      </c>
    </row>
    <row r="322" spans="1:4" x14ac:dyDescent="0.25">
      <c r="A322" s="8" t="str">
        <f t="shared" si="5"/>
        <v>novembro</v>
      </c>
      <c r="B322" s="8">
        <v>46342</v>
      </c>
      <c r="C322">
        <f>SUMIF(AGENDA!B:B,Tabela57[DATA],AGENDA!L:L)+SUMIF(AGENDA!A:A,Tabela57[DATA],AGENDA!N:N)</f>
        <v>0</v>
      </c>
      <c r="D322" s="12">
        <f>SUMIF('FLUXO DE CAIXA'!A:A,Tabela57[[#This Row],[DATA]],FUNCIONÁRIOS!E:E)+SUMIF('COMPRA-MATERIAL'!A:A,Tabela57[[#This Row],[DATA]],'COMPRA-MATERIAL'!C:C)</f>
        <v>0</v>
      </c>
    </row>
    <row r="323" spans="1:4" x14ac:dyDescent="0.25">
      <c r="A323" s="8" t="str">
        <f t="shared" si="5"/>
        <v>novembro</v>
      </c>
      <c r="B323" s="8">
        <v>46343</v>
      </c>
      <c r="C323">
        <f>SUMIF(AGENDA!B:B,Tabela57[DATA],AGENDA!L:L)+SUMIF(AGENDA!A:A,Tabela57[DATA],AGENDA!N:N)</f>
        <v>0</v>
      </c>
      <c r="D323" s="12">
        <f>SUMIF('FLUXO DE CAIXA'!A:A,Tabela57[[#This Row],[DATA]],FUNCIONÁRIOS!E:E)+SUMIF('COMPRA-MATERIAL'!A:A,Tabela57[[#This Row],[DATA]],'COMPRA-MATERIAL'!C:C)</f>
        <v>0</v>
      </c>
    </row>
    <row r="324" spans="1:4" x14ac:dyDescent="0.25">
      <c r="A324" s="8" t="str">
        <f t="shared" si="5"/>
        <v>novembro</v>
      </c>
      <c r="B324" s="8">
        <v>46344</v>
      </c>
      <c r="C324">
        <f>SUMIF(AGENDA!B:B,Tabela57[DATA],AGENDA!L:L)+SUMIF(AGENDA!A:A,Tabela57[DATA],AGENDA!N:N)</f>
        <v>0</v>
      </c>
      <c r="D324" s="12">
        <f>SUMIF('FLUXO DE CAIXA'!A:A,Tabela57[[#This Row],[DATA]],FUNCIONÁRIOS!E:E)+SUMIF('COMPRA-MATERIAL'!A:A,Tabela57[[#This Row],[DATA]],'COMPRA-MATERIAL'!C:C)</f>
        <v>0</v>
      </c>
    </row>
    <row r="325" spans="1:4" x14ac:dyDescent="0.25">
      <c r="A325" s="8" t="str">
        <f t="shared" si="5"/>
        <v>novembro</v>
      </c>
      <c r="B325" s="8">
        <v>46345</v>
      </c>
      <c r="C325">
        <f>SUMIF(AGENDA!B:B,Tabela57[DATA],AGENDA!L:L)+SUMIF(AGENDA!A:A,Tabela57[DATA],AGENDA!N:N)</f>
        <v>0</v>
      </c>
      <c r="D325" s="12">
        <f>SUMIF('FLUXO DE CAIXA'!A:A,Tabela57[[#This Row],[DATA]],FUNCIONÁRIOS!E:E)+SUMIF('COMPRA-MATERIAL'!A:A,Tabela57[[#This Row],[DATA]],'COMPRA-MATERIAL'!C:C)</f>
        <v>0</v>
      </c>
    </row>
    <row r="326" spans="1:4" x14ac:dyDescent="0.25">
      <c r="A326" s="8" t="str">
        <f t="shared" si="5"/>
        <v>novembro</v>
      </c>
      <c r="B326" s="8">
        <v>46346</v>
      </c>
      <c r="C326">
        <f>SUMIF(AGENDA!B:B,Tabela57[DATA],AGENDA!L:L)+SUMIF(AGENDA!A:A,Tabela57[DATA],AGENDA!N:N)</f>
        <v>0</v>
      </c>
      <c r="D326" s="12">
        <f>SUMIF('FLUXO DE CAIXA'!A:A,Tabela57[[#This Row],[DATA]],FUNCIONÁRIOS!E:E)+SUMIF('COMPRA-MATERIAL'!A:A,Tabela57[[#This Row],[DATA]],'COMPRA-MATERIAL'!C:C)</f>
        <v>0</v>
      </c>
    </row>
    <row r="327" spans="1:4" x14ac:dyDescent="0.25">
      <c r="A327" s="8" t="str">
        <f t="shared" si="5"/>
        <v>novembro</v>
      </c>
      <c r="B327" s="8">
        <v>46347</v>
      </c>
      <c r="C327">
        <f>SUMIF(AGENDA!B:B,Tabela57[DATA],AGENDA!L:L)+SUMIF(AGENDA!A:A,Tabela57[DATA],AGENDA!N:N)</f>
        <v>0</v>
      </c>
      <c r="D327" s="12">
        <f>SUMIF('FLUXO DE CAIXA'!A:A,Tabela57[[#This Row],[DATA]],FUNCIONÁRIOS!E:E)+SUMIF('COMPRA-MATERIAL'!A:A,Tabela57[[#This Row],[DATA]],'COMPRA-MATERIAL'!C:C)</f>
        <v>0</v>
      </c>
    </row>
    <row r="328" spans="1:4" x14ac:dyDescent="0.25">
      <c r="A328" s="8" t="str">
        <f t="shared" si="5"/>
        <v>novembro</v>
      </c>
      <c r="B328" s="8">
        <v>46348</v>
      </c>
      <c r="C328">
        <f>SUMIF(AGENDA!B:B,Tabela57[DATA],AGENDA!L:L)+SUMIF(AGENDA!A:A,Tabela57[DATA],AGENDA!N:N)</f>
        <v>0</v>
      </c>
      <c r="D328" s="12">
        <f>SUMIF('FLUXO DE CAIXA'!A:A,Tabela57[[#This Row],[DATA]],FUNCIONÁRIOS!E:E)+SUMIF('COMPRA-MATERIAL'!A:A,Tabela57[[#This Row],[DATA]],'COMPRA-MATERIAL'!C:C)</f>
        <v>0</v>
      </c>
    </row>
    <row r="329" spans="1:4" x14ac:dyDescent="0.25">
      <c r="A329" s="8" t="str">
        <f t="shared" si="5"/>
        <v>novembro</v>
      </c>
      <c r="B329" s="8">
        <v>46349</v>
      </c>
      <c r="C329">
        <f>SUMIF(AGENDA!B:B,Tabela57[DATA],AGENDA!L:L)+SUMIF(AGENDA!A:A,Tabela57[DATA],AGENDA!N:N)</f>
        <v>0</v>
      </c>
      <c r="D329" s="12">
        <f>SUMIF('FLUXO DE CAIXA'!A:A,Tabela57[[#This Row],[DATA]],FUNCIONÁRIOS!E:E)+SUMIF('COMPRA-MATERIAL'!A:A,Tabela57[[#This Row],[DATA]],'COMPRA-MATERIAL'!C:C)</f>
        <v>0</v>
      </c>
    </row>
    <row r="330" spans="1:4" x14ac:dyDescent="0.25">
      <c r="A330" s="8" t="str">
        <f t="shared" si="5"/>
        <v>novembro</v>
      </c>
      <c r="B330" s="8">
        <v>46350</v>
      </c>
      <c r="C330">
        <f>SUMIF(AGENDA!B:B,Tabela57[DATA],AGENDA!L:L)+SUMIF(AGENDA!A:A,Tabela57[DATA],AGENDA!N:N)</f>
        <v>0</v>
      </c>
      <c r="D330" s="12">
        <f>SUMIF('FLUXO DE CAIXA'!A:A,Tabela57[[#This Row],[DATA]],FUNCIONÁRIOS!E:E)+SUMIF('COMPRA-MATERIAL'!A:A,Tabela57[[#This Row],[DATA]],'COMPRA-MATERIAL'!C:C)</f>
        <v>0</v>
      </c>
    </row>
    <row r="331" spans="1:4" x14ac:dyDescent="0.25">
      <c r="A331" s="8" t="str">
        <f t="shared" si="5"/>
        <v>novembro</v>
      </c>
      <c r="B331" s="8">
        <v>46351</v>
      </c>
      <c r="C331">
        <f>SUMIF(AGENDA!B:B,Tabela57[DATA],AGENDA!L:L)+SUMIF(AGENDA!A:A,Tabela57[DATA],AGENDA!N:N)</f>
        <v>0</v>
      </c>
      <c r="D331" s="12">
        <f>SUMIF('FLUXO DE CAIXA'!A:A,Tabela57[[#This Row],[DATA]],FUNCIONÁRIOS!E:E)+SUMIF('COMPRA-MATERIAL'!A:A,Tabela57[[#This Row],[DATA]],'COMPRA-MATERIAL'!C:C)</f>
        <v>0</v>
      </c>
    </row>
    <row r="332" spans="1:4" x14ac:dyDescent="0.25">
      <c r="A332" s="8" t="str">
        <f t="shared" si="5"/>
        <v>novembro</v>
      </c>
      <c r="B332" s="8">
        <v>46352</v>
      </c>
      <c r="C332">
        <f>SUMIF(AGENDA!B:B,Tabela57[DATA],AGENDA!L:L)+SUMIF(AGENDA!A:A,Tabela57[DATA],AGENDA!N:N)</f>
        <v>0</v>
      </c>
      <c r="D332" s="12">
        <f>SUMIF('FLUXO DE CAIXA'!A:A,Tabela57[[#This Row],[DATA]],FUNCIONÁRIOS!E:E)+SUMIF('COMPRA-MATERIAL'!A:A,Tabela57[[#This Row],[DATA]],'COMPRA-MATERIAL'!C:C)</f>
        <v>0</v>
      </c>
    </row>
    <row r="333" spans="1:4" x14ac:dyDescent="0.25">
      <c r="A333" s="8" t="str">
        <f t="shared" si="5"/>
        <v>novembro</v>
      </c>
      <c r="B333" s="8">
        <v>46353</v>
      </c>
      <c r="C333">
        <f>SUMIF(AGENDA!B:B,Tabela57[DATA],AGENDA!L:L)+SUMIF(AGENDA!A:A,Tabela57[DATA],AGENDA!N:N)</f>
        <v>0</v>
      </c>
      <c r="D333" s="12">
        <f>SUMIF('FLUXO DE CAIXA'!A:A,Tabela57[[#This Row],[DATA]],FUNCIONÁRIOS!E:E)+SUMIF('COMPRA-MATERIAL'!A:A,Tabela57[[#This Row],[DATA]],'COMPRA-MATERIAL'!C:C)</f>
        <v>0</v>
      </c>
    </row>
    <row r="334" spans="1:4" x14ac:dyDescent="0.25">
      <c r="A334" s="8" t="str">
        <f t="shared" si="5"/>
        <v>novembro</v>
      </c>
      <c r="B334" s="8">
        <v>46354</v>
      </c>
      <c r="C334">
        <f>SUMIF(AGENDA!B:B,Tabela57[DATA],AGENDA!L:L)+SUMIF(AGENDA!A:A,Tabela57[DATA],AGENDA!N:N)</f>
        <v>0</v>
      </c>
      <c r="D334" s="12">
        <f>SUMIF('FLUXO DE CAIXA'!A:A,Tabela57[[#This Row],[DATA]],FUNCIONÁRIOS!E:E)+SUMIF('COMPRA-MATERIAL'!A:A,Tabela57[[#This Row],[DATA]],'COMPRA-MATERIAL'!C:C)</f>
        <v>0</v>
      </c>
    </row>
    <row r="335" spans="1:4" x14ac:dyDescent="0.25">
      <c r="A335" s="8" t="str">
        <f t="shared" si="5"/>
        <v>novembro</v>
      </c>
      <c r="B335" s="8">
        <v>46355</v>
      </c>
      <c r="C335">
        <f>SUMIF(AGENDA!B:B,Tabela57[DATA],AGENDA!L:L)+SUMIF(AGENDA!A:A,Tabela57[DATA],AGENDA!N:N)</f>
        <v>0</v>
      </c>
      <c r="D335" s="12">
        <f>SUMIF('FLUXO DE CAIXA'!A:A,Tabela57[[#This Row],[DATA]],FUNCIONÁRIOS!E:E)+SUMIF('COMPRA-MATERIAL'!A:A,Tabela57[[#This Row],[DATA]],'COMPRA-MATERIAL'!C:C)</f>
        <v>0</v>
      </c>
    </row>
    <row r="336" spans="1:4" x14ac:dyDescent="0.25">
      <c r="A336" s="8" t="str">
        <f t="shared" si="5"/>
        <v>novembro</v>
      </c>
      <c r="B336" s="8">
        <v>46356</v>
      </c>
      <c r="C336">
        <f>SUMIF(AGENDA!B:B,Tabela57[DATA],AGENDA!L:L)+SUMIF(AGENDA!A:A,Tabela57[DATA],AGENDA!N:N)</f>
        <v>0</v>
      </c>
      <c r="D336" s="12">
        <f>SUMIF('FLUXO DE CAIXA'!A:A,Tabela57[[#This Row],[DATA]],FUNCIONÁRIOS!E:E)+SUMIF('COMPRA-MATERIAL'!A:A,Tabela57[[#This Row],[DATA]],'COMPRA-MATERIAL'!C:C)</f>
        <v>0</v>
      </c>
    </row>
    <row r="337" spans="1:4" x14ac:dyDescent="0.25">
      <c r="A337" s="8" t="str">
        <f t="shared" si="5"/>
        <v>dezembro</v>
      </c>
      <c r="B337" s="8">
        <v>46357</v>
      </c>
      <c r="C337">
        <f>SUMIF(AGENDA!B:B,Tabela57[DATA],AGENDA!L:L)+SUMIF(AGENDA!A:A,Tabela57[DATA],AGENDA!N:N)</f>
        <v>0</v>
      </c>
      <c r="D337" s="12">
        <f>SUMIF('FLUXO DE CAIXA'!A:A,Tabela57[[#This Row],[DATA]],FUNCIONÁRIOS!E:E)+SUMIF('COMPRA-MATERIAL'!A:A,Tabela57[[#This Row],[DATA]],'COMPRA-MATERIAL'!C:C)</f>
        <v>0</v>
      </c>
    </row>
    <row r="338" spans="1:4" x14ac:dyDescent="0.25">
      <c r="A338" s="8" t="str">
        <f t="shared" si="5"/>
        <v>dezembro</v>
      </c>
      <c r="B338" s="8">
        <v>46358</v>
      </c>
      <c r="C338">
        <f>SUMIF(AGENDA!B:B,Tabela57[DATA],AGENDA!L:L)+SUMIF(AGENDA!A:A,Tabela57[DATA],AGENDA!N:N)</f>
        <v>0</v>
      </c>
      <c r="D338" s="12">
        <f>SUMIF('FLUXO DE CAIXA'!A:A,Tabela57[[#This Row],[DATA]],FUNCIONÁRIOS!E:E)+SUMIF('COMPRA-MATERIAL'!A:A,Tabela57[[#This Row],[DATA]],'COMPRA-MATERIAL'!C:C)</f>
        <v>0</v>
      </c>
    </row>
    <row r="339" spans="1:4" x14ac:dyDescent="0.25">
      <c r="A339" s="8" t="str">
        <f t="shared" si="5"/>
        <v>dezembro</v>
      </c>
      <c r="B339" s="8">
        <v>46359</v>
      </c>
      <c r="C339">
        <f>SUMIF(AGENDA!B:B,Tabela57[DATA],AGENDA!L:L)+SUMIF(AGENDA!A:A,Tabela57[DATA],AGENDA!N:N)</f>
        <v>0</v>
      </c>
      <c r="D339" s="12">
        <f>SUMIF('FLUXO DE CAIXA'!A:A,Tabela57[[#This Row],[DATA]],FUNCIONÁRIOS!E:E)+SUMIF('COMPRA-MATERIAL'!A:A,Tabela57[[#This Row],[DATA]],'COMPRA-MATERIAL'!C:C)</f>
        <v>0</v>
      </c>
    </row>
    <row r="340" spans="1:4" x14ac:dyDescent="0.25">
      <c r="A340" s="8" t="str">
        <f t="shared" si="5"/>
        <v>dezembro</v>
      </c>
      <c r="B340" s="8">
        <v>46360</v>
      </c>
      <c r="C340">
        <f>SUMIF(AGENDA!B:B,Tabela57[DATA],AGENDA!L:L)+SUMIF(AGENDA!A:A,Tabela57[DATA],AGENDA!N:N)</f>
        <v>0</v>
      </c>
      <c r="D340" s="12">
        <f>SUMIF('FLUXO DE CAIXA'!A:A,Tabela57[[#This Row],[DATA]],FUNCIONÁRIOS!E:E)+SUMIF('COMPRA-MATERIAL'!A:A,Tabela57[[#This Row],[DATA]],'COMPRA-MATERIAL'!C:C)</f>
        <v>0</v>
      </c>
    </row>
    <row r="341" spans="1:4" x14ac:dyDescent="0.25">
      <c r="A341" s="8" t="str">
        <f t="shared" si="5"/>
        <v>dezembro</v>
      </c>
      <c r="B341" s="8">
        <v>46361</v>
      </c>
      <c r="C341">
        <f>SUMIF(AGENDA!B:B,Tabela57[DATA],AGENDA!L:L)+SUMIF(AGENDA!A:A,Tabela57[DATA],AGENDA!N:N)</f>
        <v>0</v>
      </c>
      <c r="D341" s="12">
        <f>SUMIF('FLUXO DE CAIXA'!A:A,Tabela57[[#This Row],[DATA]],FUNCIONÁRIOS!E:E)+SUMIF('COMPRA-MATERIAL'!A:A,Tabela57[[#This Row],[DATA]],'COMPRA-MATERIAL'!C:C)</f>
        <v>0</v>
      </c>
    </row>
    <row r="342" spans="1:4" x14ac:dyDescent="0.25">
      <c r="A342" s="8" t="str">
        <f t="shared" ref="A342:A405" si="6">TEXT(B342,"MMMM")</f>
        <v>dezembro</v>
      </c>
      <c r="B342" s="8">
        <v>46362</v>
      </c>
      <c r="C342">
        <f>SUMIF(AGENDA!B:B,Tabela57[DATA],AGENDA!L:L)+SUMIF(AGENDA!A:A,Tabela57[DATA],AGENDA!N:N)</f>
        <v>0</v>
      </c>
      <c r="D342" s="12">
        <f>SUMIF('FLUXO DE CAIXA'!A:A,Tabela57[[#This Row],[DATA]],FUNCIONÁRIOS!E:E)+SUMIF('COMPRA-MATERIAL'!A:A,Tabela57[[#This Row],[DATA]],'COMPRA-MATERIAL'!C:C)</f>
        <v>0</v>
      </c>
    </row>
    <row r="343" spans="1:4" x14ac:dyDescent="0.25">
      <c r="A343" s="8" t="str">
        <f t="shared" si="6"/>
        <v>dezembro</v>
      </c>
      <c r="B343" s="8">
        <v>46363</v>
      </c>
      <c r="C343">
        <f>SUMIF(AGENDA!B:B,Tabela57[DATA],AGENDA!L:L)+SUMIF(AGENDA!A:A,Tabela57[DATA],AGENDA!N:N)</f>
        <v>0</v>
      </c>
      <c r="D343" s="12">
        <f>SUMIF('FLUXO DE CAIXA'!A:A,Tabela57[[#This Row],[DATA]],FUNCIONÁRIOS!E:E)+SUMIF('COMPRA-MATERIAL'!A:A,Tabela57[[#This Row],[DATA]],'COMPRA-MATERIAL'!C:C)</f>
        <v>0</v>
      </c>
    </row>
    <row r="344" spans="1:4" x14ac:dyDescent="0.25">
      <c r="A344" s="8" t="str">
        <f t="shared" si="6"/>
        <v>dezembro</v>
      </c>
      <c r="B344" s="8">
        <v>46364</v>
      </c>
      <c r="C344">
        <f>SUMIF(AGENDA!B:B,Tabela57[DATA],AGENDA!L:L)+SUMIF(AGENDA!A:A,Tabela57[DATA],AGENDA!N:N)</f>
        <v>0</v>
      </c>
      <c r="D344" s="12">
        <f>SUMIF('FLUXO DE CAIXA'!A:A,Tabela57[[#This Row],[DATA]],FUNCIONÁRIOS!E:E)+SUMIF('COMPRA-MATERIAL'!A:A,Tabela57[[#This Row],[DATA]],'COMPRA-MATERIAL'!C:C)</f>
        <v>0</v>
      </c>
    </row>
    <row r="345" spans="1:4" x14ac:dyDescent="0.25">
      <c r="A345" s="8" t="str">
        <f t="shared" si="6"/>
        <v>dezembro</v>
      </c>
      <c r="B345" s="8">
        <v>46365</v>
      </c>
      <c r="C345">
        <f>SUMIF(AGENDA!B:B,Tabela57[DATA],AGENDA!L:L)+SUMIF(AGENDA!A:A,Tabela57[DATA],AGENDA!N:N)</f>
        <v>0</v>
      </c>
      <c r="D345" s="12">
        <f>SUMIF('FLUXO DE CAIXA'!A:A,Tabela57[[#This Row],[DATA]],FUNCIONÁRIOS!E:E)+SUMIF('COMPRA-MATERIAL'!A:A,Tabela57[[#This Row],[DATA]],'COMPRA-MATERIAL'!C:C)</f>
        <v>0</v>
      </c>
    </row>
    <row r="346" spans="1:4" x14ac:dyDescent="0.25">
      <c r="A346" s="8" t="str">
        <f t="shared" si="6"/>
        <v>dezembro</v>
      </c>
      <c r="B346" s="8">
        <v>46366</v>
      </c>
      <c r="C346">
        <f>SUMIF(AGENDA!B:B,Tabela57[DATA],AGENDA!L:L)+SUMIF(AGENDA!A:A,Tabela57[DATA],AGENDA!N:N)</f>
        <v>0</v>
      </c>
      <c r="D346" s="12">
        <f>SUMIF('FLUXO DE CAIXA'!A:A,Tabela57[[#This Row],[DATA]],FUNCIONÁRIOS!E:E)+SUMIF('COMPRA-MATERIAL'!A:A,Tabela57[[#This Row],[DATA]],'COMPRA-MATERIAL'!C:C)</f>
        <v>0</v>
      </c>
    </row>
    <row r="347" spans="1:4" x14ac:dyDescent="0.25">
      <c r="A347" s="8" t="str">
        <f t="shared" si="6"/>
        <v>dezembro</v>
      </c>
      <c r="B347" s="8">
        <v>46367</v>
      </c>
      <c r="C347">
        <f>SUMIF(AGENDA!B:B,Tabela57[DATA],AGENDA!L:L)+SUMIF(AGENDA!A:A,Tabela57[DATA],AGENDA!N:N)</f>
        <v>0</v>
      </c>
      <c r="D347" s="12">
        <f>SUMIF('FLUXO DE CAIXA'!A:A,Tabela57[[#This Row],[DATA]],FUNCIONÁRIOS!E:E)+SUMIF('COMPRA-MATERIAL'!A:A,Tabela57[[#This Row],[DATA]],'COMPRA-MATERIAL'!C:C)</f>
        <v>0</v>
      </c>
    </row>
    <row r="348" spans="1:4" x14ac:dyDescent="0.25">
      <c r="A348" s="8" t="str">
        <f t="shared" si="6"/>
        <v>dezembro</v>
      </c>
      <c r="B348" s="8">
        <v>46368</v>
      </c>
      <c r="C348">
        <f>SUMIF(AGENDA!B:B,Tabela57[DATA],AGENDA!L:L)+SUMIF(AGENDA!A:A,Tabela57[DATA],AGENDA!N:N)</f>
        <v>0</v>
      </c>
      <c r="D348" s="12">
        <f>SUMIF('FLUXO DE CAIXA'!A:A,Tabela57[[#This Row],[DATA]],FUNCIONÁRIOS!E:E)+SUMIF('COMPRA-MATERIAL'!A:A,Tabela57[[#This Row],[DATA]],'COMPRA-MATERIAL'!C:C)</f>
        <v>0</v>
      </c>
    </row>
    <row r="349" spans="1:4" x14ac:dyDescent="0.25">
      <c r="A349" s="8" t="str">
        <f t="shared" si="6"/>
        <v>dezembro</v>
      </c>
      <c r="B349" s="8">
        <v>46369</v>
      </c>
      <c r="C349">
        <f>SUMIF(AGENDA!B:B,Tabela57[DATA],AGENDA!L:L)+SUMIF(AGENDA!A:A,Tabela57[DATA],AGENDA!N:N)</f>
        <v>0</v>
      </c>
      <c r="D349" s="12">
        <f>SUMIF('FLUXO DE CAIXA'!A:A,Tabela57[[#This Row],[DATA]],FUNCIONÁRIOS!E:E)+SUMIF('COMPRA-MATERIAL'!A:A,Tabela57[[#This Row],[DATA]],'COMPRA-MATERIAL'!C:C)</f>
        <v>0</v>
      </c>
    </row>
    <row r="350" spans="1:4" x14ac:dyDescent="0.25">
      <c r="A350" s="8" t="str">
        <f t="shared" si="6"/>
        <v>dezembro</v>
      </c>
      <c r="B350" s="8">
        <v>46370</v>
      </c>
      <c r="C350">
        <f>SUMIF(AGENDA!B:B,Tabela57[DATA],AGENDA!L:L)+SUMIF(AGENDA!A:A,Tabela57[DATA],AGENDA!N:N)</f>
        <v>0</v>
      </c>
      <c r="D350" s="12">
        <f>SUMIF('FLUXO DE CAIXA'!A:A,Tabela57[[#This Row],[DATA]],FUNCIONÁRIOS!E:E)+SUMIF('COMPRA-MATERIAL'!A:A,Tabela57[[#This Row],[DATA]],'COMPRA-MATERIAL'!C:C)</f>
        <v>0</v>
      </c>
    </row>
    <row r="351" spans="1:4" x14ac:dyDescent="0.25">
      <c r="A351" s="8" t="str">
        <f t="shared" si="6"/>
        <v>dezembro</v>
      </c>
      <c r="B351" s="8">
        <v>46371</v>
      </c>
      <c r="C351">
        <f>SUMIF(AGENDA!B:B,Tabela57[DATA],AGENDA!L:L)+SUMIF(AGENDA!A:A,Tabela57[DATA],AGENDA!N:N)</f>
        <v>0</v>
      </c>
      <c r="D351" s="12">
        <f>SUMIF('FLUXO DE CAIXA'!A:A,Tabela57[[#This Row],[DATA]],FUNCIONÁRIOS!E:E)+SUMIF('COMPRA-MATERIAL'!A:A,Tabela57[[#This Row],[DATA]],'COMPRA-MATERIAL'!C:C)</f>
        <v>0</v>
      </c>
    </row>
    <row r="352" spans="1:4" x14ac:dyDescent="0.25">
      <c r="A352" s="8" t="str">
        <f t="shared" si="6"/>
        <v>dezembro</v>
      </c>
      <c r="B352" s="8">
        <v>46372</v>
      </c>
      <c r="C352">
        <f>SUMIF(AGENDA!B:B,Tabela57[DATA],AGENDA!L:L)+SUMIF(AGENDA!A:A,Tabela57[DATA],AGENDA!N:N)</f>
        <v>0</v>
      </c>
      <c r="D352" s="12">
        <f>SUMIF('FLUXO DE CAIXA'!A:A,Tabela57[[#This Row],[DATA]],FUNCIONÁRIOS!E:E)+SUMIF('COMPRA-MATERIAL'!A:A,Tabela57[[#This Row],[DATA]],'COMPRA-MATERIAL'!C:C)</f>
        <v>0</v>
      </c>
    </row>
    <row r="353" spans="1:4" x14ac:dyDescent="0.25">
      <c r="A353" s="8" t="str">
        <f t="shared" si="6"/>
        <v>dezembro</v>
      </c>
      <c r="B353" s="8">
        <v>46373</v>
      </c>
      <c r="C353">
        <f>SUMIF(AGENDA!B:B,Tabela57[DATA],AGENDA!L:L)+SUMIF(AGENDA!A:A,Tabela57[DATA],AGENDA!N:N)</f>
        <v>0</v>
      </c>
      <c r="D353" s="12">
        <f>SUMIF('FLUXO DE CAIXA'!A:A,Tabela57[[#This Row],[DATA]],FUNCIONÁRIOS!E:E)+SUMIF('COMPRA-MATERIAL'!A:A,Tabela57[[#This Row],[DATA]],'COMPRA-MATERIAL'!C:C)</f>
        <v>0</v>
      </c>
    </row>
    <row r="354" spans="1:4" x14ac:dyDescent="0.25">
      <c r="A354" s="8" t="str">
        <f t="shared" si="6"/>
        <v>dezembro</v>
      </c>
      <c r="B354" s="8">
        <v>46374</v>
      </c>
      <c r="C354">
        <f>SUMIF(AGENDA!B:B,Tabela57[DATA],AGENDA!L:L)+SUMIF(AGENDA!A:A,Tabela57[DATA],AGENDA!N:N)</f>
        <v>0</v>
      </c>
      <c r="D354" s="12">
        <f>SUMIF('FLUXO DE CAIXA'!A:A,Tabela57[[#This Row],[DATA]],FUNCIONÁRIOS!E:E)+SUMIF('COMPRA-MATERIAL'!A:A,Tabela57[[#This Row],[DATA]],'COMPRA-MATERIAL'!C:C)</f>
        <v>0</v>
      </c>
    </row>
    <row r="355" spans="1:4" x14ac:dyDescent="0.25">
      <c r="A355" s="8" t="str">
        <f t="shared" si="6"/>
        <v>dezembro</v>
      </c>
      <c r="B355" s="8">
        <v>46375</v>
      </c>
      <c r="C355">
        <f>SUMIF(AGENDA!B:B,Tabela57[DATA],AGENDA!L:L)+SUMIF(AGENDA!A:A,Tabela57[DATA],AGENDA!N:N)</f>
        <v>0</v>
      </c>
      <c r="D355" s="12">
        <f>SUMIF('FLUXO DE CAIXA'!A:A,Tabela57[[#This Row],[DATA]],FUNCIONÁRIOS!E:E)+SUMIF('COMPRA-MATERIAL'!A:A,Tabela57[[#This Row],[DATA]],'COMPRA-MATERIAL'!C:C)</f>
        <v>0</v>
      </c>
    </row>
    <row r="356" spans="1:4" x14ac:dyDescent="0.25">
      <c r="A356" s="8" t="str">
        <f t="shared" si="6"/>
        <v>dezembro</v>
      </c>
      <c r="B356" s="8">
        <v>46376</v>
      </c>
      <c r="C356">
        <f>SUMIF(AGENDA!B:B,Tabela57[DATA],AGENDA!L:L)+SUMIF(AGENDA!A:A,Tabela57[DATA],AGENDA!N:N)</f>
        <v>0</v>
      </c>
      <c r="D356" s="12">
        <f>SUMIF('FLUXO DE CAIXA'!A:A,Tabela57[[#This Row],[DATA]],FUNCIONÁRIOS!E:E)+SUMIF('COMPRA-MATERIAL'!A:A,Tabela57[[#This Row],[DATA]],'COMPRA-MATERIAL'!C:C)</f>
        <v>0</v>
      </c>
    </row>
    <row r="357" spans="1:4" x14ac:dyDescent="0.25">
      <c r="A357" s="8" t="str">
        <f t="shared" si="6"/>
        <v>dezembro</v>
      </c>
      <c r="B357" s="8">
        <v>46377</v>
      </c>
      <c r="C357">
        <f>SUMIF(AGENDA!B:B,Tabela57[DATA],AGENDA!L:L)+SUMIF(AGENDA!A:A,Tabela57[DATA],AGENDA!N:N)</f>
        <v>0</v>
      </c>
      <c r="D357" s="12">
        <f>SUMIF('FLUXO DE CAIXA'!A:A,Tabela57[[#This Row],[DATA]],FUNCIONÁRIOS!E:E)+SUMIF('COMPRA-MATERIAL'!A:A,Tabela57[[#This Row],[DATA]],'COMPRA-MATERIAL'!C:C)</f>
        <v>0</v>
      </c>
    </row>
    <row r="358" spans="1:4" x14ac:dyDescent="0.25">
      <c r="A358" s="8" t="str">
        <f t="shared" si="6"/>
        <v>dezembro</v>
      </c>
      <c r="B358" s="8">
        <v>46378</v>
      </c>
      <c r="C358">
        <f>SUMIF(AGENDA!B:B,Tabela57[DATA],AGENDA!L:L)+SUMIF(AGENDA!A:A,Tabela57[DATA],AGENDA!N:N)</f>
        <v>0</v>
      </c>
      <c r="D358" s="12">
        <f>SUMIF('FLUXO DE CAIXA'!A:A,Tabela57[[#This Row],[DATA]],FUNCIONÁRIOS!E:E)+SUMIF('COMPRA-MATERIAL'!A:A,Tabela57[[#This Row],[DATA]],'COMPRA-MATERIAL'!C:C)</f>
        <v>0</v>
      </c>
    </row>
    <row r="359" spans="1:4" x14ac:dyDescent="0.25">
      <c r="A359" s="8" t="str">
        <f t="shared" si="6"/>
        <v>dezembro</v>
      </c>
      <c r="B359" s="8">
        <v>46379</v>
      </c>
      <c r="C359">
        <f>SUMIF(AGENDA!B:B,Tabela57[DATA],AGENDA!L:L)+SUMIF(AGENDA!A:A,Tabela57[DATA],AGENDA!N:N)</f>
        <v>0</v>
      </c>
      <c r="D359" s="12">
        <f>SUMIF('FLUXO DE CAIXA'!A:A,Tabela57[[#This Row],[DATA]],FUNCIONÁRIOS!E:E)+SUMIF('COMPRA-MATERIAL'!A:A,Tabela57[[#This Row],[DATA]],'COMPRA-MATERIAL'!C:C)</f>
        <v>0</v>
      </c>
    </row>
    <row r="360" spans="1:4" x14ac:dyDescent="0.25">
      <c r="A360" s="8" t="str">
        <f t="shared" si="6"/>
        <v>dezembro</v>
      </c>
      <c r="B360" s="8">
        <v>46380</v>
      </c>
      <c r="C360">
        <f>SUMIF(AGENDA!B:B,Tabela57[DATA],AGENDA!L:L)+SUMIF(AGENDA!A:A,Tabela57[DATA],AGENDA!N:N)</f>
        <v>0</v>
      </c>
      <c r="D360" s="12">
        <f>SUMIF('FLUXO DE CAIXA'!A:A,Tabela57[[#This Row],[DATA]],FUNCIONÁRIOS!E:E)+SUMIF('COMPRA-MATERIAL'!A:A,Tabela57[[#This Row],[DATA]],'COMPRA-MATERIAL'!C:C)</f>
        <v>0</v>
      </c>
    </row>
    <row r="361" spans="1:4" x14ac:dyDescent="0.25">
      <c r="A361" s="8" t="str">
        <f t="shared" si="6"/>
        <v>dezembro</v>
      </c>
      <c r="B361" s="8">
        <v>46381</v>
      </c>
      <c r="C361">
        <f>SUMIF(AGENDA!B:B,Tabela57[DATA],AGENDA!L:L)+SUMIF(AGENDA!A:A,Tabela57[DATA],AGENDA!N:N)</f>
        <v>0</v>
      </c>
      <c r="D361" s="12">
        <f>SUMIF('FLUXO DE CAIXA'!A:A,Tabela57[[#This Row],[DATA]],FUNCIONÁRIOS!E:E)+SUMIF('COMPRA-MATERIAL'!A:A,Tabela57[[#This Row],[DATA]],'COMPRA-MATERIAL'!C:C)</f>
        <v>0</v>
      </c>
    </row>
    <row r="362" spans="1:4" x14ac:dyDescent="0.25">
      <c r="A362" s="8" t="str">
        <f t="shared" si="6"/>
        <v>dezembro</v>
      </c>
      <c r="B362" s="8">
        <v>46382</v>
      </c>
      <c r="C362">
        <f>SUMIF(AGENDA!B:B,Tabela57[DATA],AGENDA!L:L)+SUMIF(AGENDA!A:A,Tabela57[DATA],AGENDA!N:N)</f>
        <v>0</v>
      </c>
      <c r="D362" s="12">
        <f>SUMIF('FLUXO DE CAIXA'!A:A,Tabela57[[#This Row],[DATA]],FUNCIONÁRIOS!E:E)+SUMIF('COMPRA-MATERIAL'!A:A,Tabela57[[#This Row],[DATA]],'COMPRA-MATERIAL'!C:C)</f>
        <v>0</v>
      </c>
    </row>
    <row r="363" spans="1:4" x14ac:dyDescent="0.25">
      <c r="A363" s="8" t="str">
        <f t="shared" si="6"/>
        <v>dezembro</v>
      </c>
      <c r="B363" s="8">
        <v>46383</v>
      </c>
      <c r="C363">
        <f>SUMIF(AGENDA!B:B,Tabela57[DATA],AGENDA!L:L)+SUMIF(AGENDA!A:A,Tabela57[DATA],AGENDA!N:N)</f>
        <v>0</v>
      </c>
      <c r="D363" s="12">
        <f>SUMIF('FLUXO DE CAIXA'!A:A,Tabela57[[#This Row],[DATA]],FUNCIONÁRIOS!E:E)+SUMIF('COMPRA-MATERIAL'!A:A,Tabela57[[#This Row],[DATA]],'COMPRA-MATERIAL'!C:C)</f>
        <v>0</v>
      </c>
    </row>
    <row r="364" spans="1:4" x14ac:dyDescent="0.25">
      <c r="A364" s="8" t="str">
        <f t="shared" si="6"/>
        <v>dezembro</v>
      </c>
      <c r="B364" s="8">
        <v>46384</v>
      </c>
      <c r="C364">
        <f>SUMIF(AGENDA!B:B,Tabela57[DATA],AGENDA!L:L)+SUMIF(AGENDA!A:A,Tabela57[DATA],AGENDA!N:N)</f>
        <v>0</v>
      </c>
      <c r="D364" s="12">
        <f>SUMIF('FLUXO DE CAIXA'!A:A,Tabela57[[#This Row],[DATA]],FUNCIONÁRIOS!E:E)+SUMIF('COMPRA-MATERIAL'!A:A,Tabela57[[#This Row],[DATA]],'COMPRA-MATERIAL'!C:C)</f>
        <v>0</v>
      </c>
    </row>
    <row r="365" spans="1:4" x14ac:dyDescent="0.25">
      <c r="A365" s="8" t="str">
        <f t="shared" si="6"/>
        <v>dezembro</v>
      </c>
      <c r="B365" s="8">
        <v>46385</v>
      </c>
      <c r="C365">
        <f>SUMIF(AGENDA!B:B,Tabela57[DATA],AGENDA!L:L)+SUMIF(AGENDA!A:A,Tabela57[DATA],AGENDA!N:N)</f>
        <v>0</v>
      </c>
      <c r="D365" s="12">
        <f>SUMIF('FLUXO DE CAIXA'!A:A,Tabela57[[#This Row],[DATA]],FUNCIONÁRIOS!E:E)+SUMIF('COMPRA-MATERIAL'!A:A,Tabela57[[#This Row],[DATA]],'COMPRA-MATERIAL'!C:C)</f>
        <v>0</v>
      </c>
    </row>
    <row r="366" spans="1:4" x14ac:dyDescent="0.25">
      <c r="A366" s="8" t="str">
        <f t="shared" ref="A366:A367" si="7">TEXT(B366,"MMMM")</f>
        <v>dezembro</v>
      </c>
      <c r="B366" s="8">
        <v>46386</v>
      </c>
      <c r="C366">
        <f>SUMIF(AGENDA!B:B,Tabela57[DATA],AGENDA!L:L)+SUMIF(AGENDA!A:A,Tabela57[DATA],AGENDA!N:N)</f>
        <v>0</v>
      </c>
      <c r="D366" s="12">
        <f>SUMIF('FLUXO DE CAIXA'!A:A,Tabela57[[#This Row],[DATA]],FUNCIONÁRIOS!E:E)+SUMIF('COMPRA-MATERIAL'!A:A,Tabela57[[#This Row],[DATA]],'COMPRA-MATERIAL'!C:C)</f>
        <v>0</v>
      </c>
    </row>
    <row r="367" spans="1:4" x14ac:dyDescent="0.25">
      <c r="A367" s="8" t="str">
        <f t="shared" si="7"/>
        <v>dezembro</v>
      </c>
      <c r="B367" s="8">
        <v>46387</v>
      </c>
      <c r="C367">
        <f>SUMIF(AGENDA!B:B,Tabela57[DATA],AGENDA!L:L)+SUMIF(AGENDA!A:A,Tabela57[DATA],AGENDA!N:N)</f>
        <v>0</v>
      </c>
      <c r="D367" s="12">
        <f>SUMIF('FLUXO DE CAIXA'!A:A,Tabela57[[#This Row],[DATA]],FUNCIONÁRIOS!E:E)+SUMIF('COMPRA-MATERIAL'!A:A,Tabela57[[#This Row],[DATA]],'COMPRA-MATERIAL'!C:C)</f>
        <v>0</v>
      </c>
    </row>
  </sheetData>
  <mergeCells count="2">
    <mergeCell ref="G1:J1"/>
    <mergeCell ref="A1:E1"/>
  </mergeCells>
  <conditionalFormatting sqref="B368:B1048576 C3:C367">
    <cfRule type="cellIs" dxfId="15" priority="11" operator="greaterThan">
      <formula>0</formula>
    </cfRule>
  </conditionalFormatting>
  <conditionalFormatting sqref="H3:I14">
    <cfRule type="cellIs" dxfId="14" priority="9" operator="greaterThan">
      <formula>0</formula>
    </cfRule>
  </conditionalFormatting>
  <conditionalFormatting sqref="I4:I14">
    <cfRule type="cellIs" dxfId="13" priority="8" operator="greaterThan">
      <formula>0</formula>
    </cfRule>
  </conditionalFormatting>
  <conditionalFormatting sqref="H3:H1048576">
    <cfRule type="cellIs" dxfId="12" priority="7" operator="greaterThan">
      <formula>0</formula>
    </cfRule>
  </conditionalFormatting>
  <conditionalFormatting sqref="I3:I1048576">
    <cfRule type="cellIs" dxfId="11" priority="6" operator="greaterThan">
      <formula>0</formula>
    </cfRule>
  </conditionalFormatting>
  <conditionalFormatting sqref="J3:J1048576">
    <cfRule type="cellIs" dxfId="10" priority="3" operator="lessThan">
      <formula>0</formula>
    </cfRule>
    <cfRule type="cellIs" dxfId="9" priority="4" operator="greater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0"/>
  <sheetViews>
    <sheetView topLeftCell="B1" zoomScale="85" zoomScaleNormal="85" workbookViewId="0">
      <selection activeCell="M8" sqref="M8"/>
    </sheetView>
  </sheetViews>
  <sheetFormatPr defaultRowHeight="15" x14ac:dyDescent="0.25"/>
  <cols>
    <col min="1" max="1" width="11.85546875" style="23" hidden="1" customWidth="1"/>
    <col min="2" max="2" width="10.85546875" style="23" bestFit="1" customWidth="1"/>
    <col min="3" max="3" width="9.85546875" style="40" customWidth="1"/>
    <col min="4" max="4" width="11.28515625" style="23" bestFit="1" customWidth="1"/>
    <col min="5" max="5" width="11.7109375" style="23" customWidth="1"/>
    <col min="6" max="6" width="17.85546875" style="23" bestFit="1" customWidth="1"/>
    <col min="7" max="7" width="14.85546875" style="23" customWidth="1"/>
    <col min="8" max="8" width="14.140625" style="23" bestFit="1" customWidth="1"/>
    <col min="9" max="9" width="17.42578125" style="23" bestFit="1" customWidth="1"/>
    <col min="10" max="10" width="16" bestFit="1" customWidth="1"/>
    <col min="11" max="11" width="12.42578125" style="23" bestFit="1" customWidth="1"/>
    <col min="12" max="12" width="15.7109375" style="23" bestFit="1" customWidth="1"/>
    <col min="13" max="13" width="11.85546875" style="23" bestFit="1" customWidth="1"/>
    <col min="14" max="14" width="12.7109375" bestFit="1" customWidth="1"/>
    <col min="15" max="15" width="13.42578125" bestFit="1" customWidth="1"/>
  </cols>
  <sheetData>
    <row r="1" spans="1:15" ht="72" customHeight="1" x14ac:dyDescent="0.25">
      <c r="A1" s="24" t="s">
        <v>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45.75" customHeight="1" x14ac:dyDescent="0.25">
      <c r="A2" s="4" t="s">
        <v>22</v>
      </c>
      <c r="B2" s="2" t="s">
        <v>0</v>
      </c>
      <c r="C2" s="36" t="s">
        <v>1</v>
      </c>
      <c r="D2" s="3" t="s">
        <v>2</v>
      </c>
      <c r="E2" s="3" t="s">
        <v>4</v>
      </c>
      <c r="F2" s="3" t="s">
        <v>3</v>
      </c>
      <c r="G2" s="3" t="s">
        <v>5</v>
      </c>
      <c r="H2" s="3" t="s">
        <v>11</v>
      </c>
      <c r="I2" s="3" t="s">
        <v>6</v>
      </c>
      <c r="J2" s="4" t="s">
        <v>35</v>
      </c>
      <c r="K2" s="3" t="s">
        <v>36</v>
      </c>
      <c r="L2" s="30" t="s">
        <v>53</v>
      </c>
      <c r="M2" s="31" t="s">
        <v>7</v>
      </c>
      <c r="N2" s="30" t="s">
        <v>55</v>
      </c>
      <c r="O2" s="5" t="s">
        <v>56</v>
      </c>
    </row>
    <row r="3" spans="1:15" x14ac:dyDescent="0.25">
      <c r="A3" s="35" t="str">
        <f>TEXT(Tabela2[[#This Row],[DATA]],"MMMM")</f>
        <v>janeiro</v>
      </c>
      <c r="B3" s="16"/>
      <c r="C3" s="3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</row>
    <row r="4" spans="1:15" x14ac:dyDescent="0.25">
      <c r="A4" s="16" t="str">
        <f>TEXT(Tabela2[[#This Row],[DATA]],"MMMM")</f>
        <v>janeiro</v>
      </c>
      <c r="B4" s="16"/>
      <c r="C4" s="3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  <c r="O4" s="21"/>
    </row>
    <row r="5" spans="1:15" x14ac:dyDescent="0.25">
      <c r="A5" s="19" t="str">
        <f>TEXT(Tabela2[[#This Row],[DATA]],"MMMM")</f>
        <v>janeiro</v>
      </c>
      <c r="B5" s="19"/>
      <c r="C5" s="38"/>
      <c r="D5" s="20"/>
      <c r="E5" s="20"/>
      <c r="F5" s="17"/>
      <c r="G5" s="17"/>
      <c r="H5" s="20"/>
      <c r="I5" s="20"/>
      <c r="J5" s="20"/>
      <c r="K5" s="20"/>
      <c r="L5" s="17"/>
      <c r="M5" s="20"/>
      <c r="N5" s="21"/>
      <c r="O5" s="21"/>
    </row>
    <row r="6" spans="1:15" x14ac:dyDescent="0.25">
      <c r="A6" s="16" t="str">
        <f>TEXT(Tabela2[[#This Row],[DATA]],"MMMM")</f>
        <v>janeiro</v>
      </c>
      <c r="B6" s="22"/>
      <c r="C6" s="3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8"/>
    </row>
    <row r="7" spans="1:15" x14ac:dyDescent="0.25">
      <c r="A7" s="16" t="str">
        <f>TEXT(Tabela2[[#This Row],[DATA]],"MMMM")</f>
        <v>janeiro</v>
      </c>
      <c r="B7" s="22"/>
      <c r="C7" s="37"/>
      <c r="D7" s="17"/>
      <c r="E7" s="17"/>
      <c r="F7" s="17"/>
      <c r="G7" s="20"/>
      <c r="H7" s="17"/>
      <c r="I7" s="20"/>
      <c r="J7" s="17"/>
      <c r="K7" s="17"/>
      <c r="L7" s="27"/>
      <c r="M7" s="17"/>
      <c r="N7" s="18"/>
      <c r="O7" s="18"/>
    </row>
    <row r="8" spans="1:15" x14ac:dyDescent="0.25">
      <c r="A8" s="35" t="str">
        <f>TEXT(Tabela2[[#This Row],[DATA]],"MMMM")</f>
        <v>janeiro</v>
      </c>
      <c r="B8" s="25"/>
      <c r="C8" s="39"/>
      <c r="D8" s="26"/>
      <c r="E8" s="26"/>
      <c r="F8" s="26"/>
      <c r="G8" s="20"/>
      <c r="H8" s="26"/>
      <c r="I8" s="20"/>
      <c r="J8" s="26"/>
      <c r="K8" s="26"/>
      <c r="L8" s="27"/>
      <c r="M8" s="26"/>
      <c r="N8" s="28"/>
      <c r="O8" s="28"/>
    </row>
    <row r="9" spans="1:15" x14ac:dyDescent="0.25">
      <c r="A9" s="35" t="str">
        <f>TEXT(Tabela2[[#This Row],[DATA]],"MMMM")</f>
        <v>janeiro</v>
      </c>
      <c r="B9" s="25"/>
      <c r="C9" s="39"/>
      <c r="D9" s="26"/>
      <c r="E9" s="26"/>
      <c r="F9" s="26"/>
      <c r="G9" s="20"/>
      <c r="H9" s="26"/>
      <c r="I9" s="20"/>
      <c r="J9" s="26"/>
      <c r="K9" s="26"/>
      <c r="L9" s="27"/>
      <c r="M9" s="26"/>
      <c r="N9" s="28"/>
      <c r="O9" s="28"/>
    </row>
    <row r="10" spans="1:15" x14ac:dyDescent="0.25">
      <c r="A10" s="35" t="str">
        <f>TEXT(Tabela2[[#This Row],[DATA]],"MMMM")</f>
        <v>janeiro</v>
      </c>
      <c r="B10" s="25"/>
      <c r="C10" s="39"/>
      <c r="D10" s="26"/>
      <c r="E10" s="26"/>
      <c r="F10" s="26"/>
      <c r="G10" s="20"/>
      <c r="H10" s="26"/>
      <c r="I10" s="20"/>
      <c r="J10" s="26"/>
      <c r="K10" s="26"/>
      <c r="L10" s="27"/>
      <c r="M10" s="26"/>
      <c r="N10" s="28"/>
      <c r="O10" s="28"/>
    </row>
    <row r="11" spans="1:15" x14ac:dyDescent="0.25">
      <c r="A11" s="35" t="str">
        <f>TEXT(Tabela2[[#This Row],[DATA]],"MMMM")</f>
        <v>janeiro</v>
      </c>
      <c r="B11" s="25"/>
      <c r="C11" s="39"/>
      <c r="D11" s="26"/>
      <c r="E11" s="26"/>
      <c r="F11" s="26"/>
      <c r="G11" s="20"/>
      <c r="H11" s="26"/>
      <c r="I11" s="20"/>
      <c r="J11" s="26"/>
      <c r="K11" s="26"/>
      <c r="L11" s="27"/>
      <c r="M11" s="26"/>
      <c r="N11" s="28"/>
      <c r="O11" s="28"/>
    </row>
    <row r="12" spans="1:15" x14ac:dyDescent="0.25">
      <c r="A12" s="35" t="str">
        <f>TEXT(Tabela2[[#This Row],[DATA]],"MMMM")</f>
        <v>janeiro</v>
      </c>
      <c r="B12" s="25"/>
      <c r="C12" s="39"/>
      <c r="D12" s="26"/>
      <c r="E12" s="26"/>
      <c r="F12" s="26"/>
      <c r="G12" s="20"/>
      <c r="H12" s="26"/>
      <c r="I12" s="20"/>
      <c r="J12" s="26"/>
      <c r="K12" s="26"/>
      <c r="L12" s="27"/>
      <c r="M12" s="26"/>
      <c r="N12" s="28"/>
      <c r="O12" s="28"/>
    </row>
    <row r="13" spans="1:15" x14ac:dyDescent="0.25">
      <c r="A13" s="35" t="str">
        <f>TEXT(Tabela2[[#This Row],[DATA]],"MMMM")</f>
        <v>janeiro</v>
      </c>
      <c r="B13" s="25"/>
      <c r="C13" s="39"/>
      <c r="D13" s="26"/>
      <c r="E13" s="26"/>
      <c r="F13" s="26"/>
      <c r="G13" s="20"/>
      <c r="H13" s="26"/>
      <c r="I13" s="20"/>
      <c r="J13" s="26"/>
      <c r="K13" s="26"/>
      <c r="L13" s="27"/>
      <c r="M13" s="26"/>
      <c r="N13" s="28"/>
      <c r="O13" s="28"/>
    </row>
    <row r="14" spans="1:15" x14ac:dyDescent="0.25">
      <c r="A14" s="35" t="str">
        <f>TEXT(Tabela2[[#This Row],[DATA]],"MMMM")</f>
        <v>janeiro</v>
      </c>
      <c r="B14" s="25"/>
      <c r="C14" s="39"/>
      <c r="D14" s="26"/>
      <c r="E14" s="26"/>
      <c r="F14" s="26"/>
      <c r="G14" s="20"/>
      <c r="H14" s="26"/>
      <c r="I14" s="20"/>
      <c r="J14" s="26"/>
      <c r="K14" s="26"/>
      <c r="L14" s="27"/>
      <c r="M14" s="26"/>
      <c r="N14" s="28"/>
      <c r="O14" s="28"/>
    </row>
    <row r="15" spans="1:15" x14ac:dyDescent="0.25">
      <c r="A15" s="35" t="str">
        <f>TEXT(Tabela2[[#This Row],[DATA]],"MMMM")</f>
        <v>janeiro</v>
      </c>
      <c r="B15" s="25"/>
      <c r="C15" s="39"/>
      <c r="D15" s="26"/>
      <c r="E15" s="26"/>
      <c r="F15" s="26"/>
      <c r="G15" s="20"/>
      <c r="H15" s="26"/>
      <c r="I15" s="20"/>
      <c r="J15" s="26"/>
      <c r="K15" s="26"/>
      <c r="L15" s="27"/>
      <c r="M15" s="26"/>
      <c r="N15" s="28"/>
      <c r="O15" s="28"/>
    </row>
    <row r="16" spans="1:15" x14ac:dyDescent="0.25">
      <c r="A16" s="35" t="str">
        <f>TEXT(Tabela2[[#This Row],[DATA]],"MMMM")</f>
        <v>janeiro</v>
      </c>
      <c r="B16" s="25"/>
      <c r="C16" s="39"/>
      <c r="D16" s="26"/>
      <c r="E16" s="26"/>
      <c r="F16" s="26"/>
      <c r="G16" s="20"/>
      <c r="H16" s="26"/>
      <c r="I16" s="20"/>
      <c r="J16" s="26"/>
      <c r="K16" s="26"/>
      <c r="L16" s="27"/>
      <c r="M16" s="26"/>
      <c r="N16" s="28"/>
      <c r="O16" s="28"/>
    </row>
    <row r="17" spans="1:15" x14ac:dyDescent="0.25">
      <c r="A17" s="35" t="str">
        <f>TEXT(Tabela2[[#This Row],[DATA]],"MMMM")</f>
        <v>janeiro</v>
      </c>
      <c r="B17" s="25"/>
      <c r="C17" s="39"/>
      <c r="D17" s="26"/>
      <c r="E17" s="26"/>
      <c r="F17" s="26"/>
      <c r="G17" s="20"/>
      <c r="H17" s="26"/>
      <c r="I17" s="20"/>
      <c r="J17" s="26"/>
      <c r="K17" s="26"/>
      <c r="L17" s="27"/>
      <c r="M17" s="26"/>
      <c r="N17" s="28"/>
      <c r="O17" s="28"/>
    </row>
    <row r="18" spans="1:15" x14ac:dyDescent="0.25">
      <c r="A18" s="35" t="str">
        <f>TEXT(Tabela2[[#This Row],[DATA]],"MMMM")</f>
        <v>janeiro</v>
      </c>
      <c r="B18" s="25"/>
      <c r="C18" s="39"/>
      <c r="D18" s="26"/>
      <c r="E18" s="26"/>
      <c r="F18" s="26"/>
      <c r="G18" s="20"/>
      <c r="H18" s="26"/>
      <c r="I18" s="20"/>
      <c r="J18" s="26"/>
      <c r="K18" s="26"/>
      <c r="L18" s="27"/>
      <c r="M18" s="26"/>
      <c r="N18" s="28"/>
      <c r="O18" s="28"/>
    </row>
    <row r="19" spans="1:15" x14ac:dyDescent="0.25">
      <c r="A19" s="35" t="str">
        <f>TEXT(Tabela2[[#This Row],[DATA]],"MMMM")</f>
        <v>janeiro</v>
      </c>
      <c r="B19" s="25"/>
      <c r="C19" s="39"/>
      <c r="D19" s="26"/>
      <c r="E19" s="26"/>
      <c r="F19" s="26"/>
      <c r="G19" s="20"/>
      <c r="H19" s="26"/>
      <c r="I19" s="20"/>
      <c r="J19" s="26"/>
      <c r="K19" s="26"/>
      <c r="L19" s="27"/>
      <c r="M19" s="26"/>
      <c r="N19" s="28"/>
      <c r="O19" s="28"/>
    </row>
    <row r="20" spans="1:15" x14ac:dyDescent="0.25">
      <c r="A20" s="35" t="str">
        <f>TEXT(Tabela2[[#This Row],[DATA]],"MMMM")</f>
        <v>janeiro</v>
      </c>
      <c r="B20" s="25"/>
      <c r="C20" s="39"/>
      <c r="D20" s="26"/>
      <c r="E20" s="26"/>
      <c r="F20" s="26"/>
      <c r="G20" s="20"/>
      <c r="H20" s="26"/>
      <c r="I20" s="20"/>
      <c r="J20" s="26"/>
      <c r="K20" s="26"/>
      <c r="L20" s="27"/>
      <c r="M20" s="26"/>
      <c r="N20" s="28"/>
      <c r="O20" s="28"/>
    </row>
    <row r="21" spans="1:15" x14ac:dyDescent="0.25">
      <c r="A21" s="35" t="str">
        <f>TEXT(Tabela2[[#This Row],[DATA]],"MMMM")</f>
        <v>janeiro</v>
      </c>
      <c r="B21" s="25"/>
      <c r="C21" s="39"/>
      <c r="D21" s="26"/>
      <c r="E21" s="26"/>
      <c r="F21" s="26"/>
      <c r="G21" s="20"/>
      <c r="H21" s="26"/>
      <c r="I21" s="20"/>
      <c r="J21" s="26"/>
      <c r="K21" s="26"/>
      <c r="L21" s="27"/>
      <c r="M21" s="26"/>
      <c r="N21" s="28"/>
      <c r="O21" s="28"/>
    </row>
    <row r="22" spans="1:15" x14ac:dyDescent="0.25">
      <c r="A22" s="35" t="str">
        <f>TEXT(Tabela2[[#This Row],[DATA]],"MMMM")</f>
        <v>janeiro</v>
      </c>
      <c r="B22" s="25"/>
      <c r="C22" s="39"/>
      <c r="D22" s="26"/>
      <c r="E22" s="26"/>
      <c r="F22" s="26"/>
      <c r="G22" s="20"/>
      <c r="H22" s="26"/>
      <c r="I22" s="20"/>
      <c r="J22" s="26"/>
      <c r="K22" s="26"/>
      <c r="L22" s="27"/>
      <c r="M22" s="26"/>
      <c r="N22" s="28"/>
      <c r="O22" s="28"/>
    </row>
    <row r="23" spans="1:15" x14ac:dyDescent="0.25">
      <c r="A23" s="35" t="str">
        <f>TEXT(Tabela2[[#This Row],[DATA]],"MMMM")</f>
        <v>janeiro</v>
      </c>
      <c r="B23" s="25"/>
      <c r="C23" s="39"/>
      <c r="D23" s="26"/>
      <c r="E23" s="26"/>
      <c r="F23" s="26"/>
      <c r="G23" s="20"/>
      <c r="H23" s="26"/>
      <c r="I23" s="20"/>
      <c r="J23" s="26"/>
      <c r="K23" s="26"/>
      <c r="L23" s="27"/>
      <c r="M23" s="26"/>
      <c r="N23" s="28"/>
      <c r="O23" s="28"/>
    </row>
    <row r="24" spans="1:15" x14ac:dyDescent="0.25">
      <c r="A24" s="35" t="str">
        <f>TEXT(Tabela2[[#This Row],[DATA]],"MMMM")</f>
        <v>janeiro</v>
      </c>
      <c r="B24" s="25"/>
      <c r="C24" s="39"/>
      <c r="D24" s="26"/>
      <c r="E24" s="26"/>
      <c r="F24" s="26"/>
      <c r="G24" s="20"/>
      <c r="H24" s="26"/>
      <c r="I24" s="20"/>
      <c r="J24" s="26"/>
      <c r="K24" s="26"/>
      <c r="L24" s="27"/>
      <c r="M24" s="26"/>
      <c r="N24" s="28"/>
      <c r="O24" s="28"/>
    </row>
    <row r="25" spans="1:15" x14ac:dyDescent="0.25">
      <c r="A25" s="35" t="str">
        <f>TEXT(Tabela2[[#This Row],[DATA]],"MMMM")</f>
        <v>janeiro</v>
      </c>
      <c r="B25" s="25"/>
      <c r="C25" s="39"/>
      <c r="D25" s="26"/>
      <c r="E25" s="26"/>
      <c r="F25" s="26"/>
      <c r="G25" s="20"/>
      <c r="H25" s="26"/>
      <c r="I25" s="20"/>
      <c r="J25" s="26"/>
      <c r="K25" s="26"/>
      <c r="L25" s="27"/>
      <c r="M25" s="26"/>
      <c r="N25" s="28"/>
      <c r="O25" s="28"/>
    </row>
    <row r="26" spans="1:15" x14ac:dyDescent="0.25">
      <c r="A26" s="35" t="str">
        <f>TEXT(Tabela2[[#This Row],[DATA]],"MMMM")</f>
        <v>janeiro</v>
      </c>
      <c r="B26" s="25"/>
      <c r="C26" s="39"/>
      <c r="D26" s="26"/>
      <c r="E26" s="26"/>
      <c r="F26" s="26"/>
      <c r="G26" s="20"/>
      <c r="H26" s="26"/>
      <c r="I26" s="20"/>
      <c r="J26" s="26"/>
      <c r="K26" s="26"/>
      <c r="L26" s="27"/>
      <c r="M26" s="26"/>
      <c r="N26" s="28"/>
      <c r="O26" s="28"/>
    </row>
    <row r="27" spans="1:15" x14ac:dyDescent="0.25">
      <c r="A27" s="35" t="str">
        <f>TEXT(Tabela2[[#This Row],[DATA]],"MMMM")</f>
        <v>janeiro</v>
      </c>
      <c r="B27" s="25"/>
      <c r="C27" s="39"/>
      <c r="D27" s="26"/>
      <c r="E27" s="26"/>
      <c r="F27" s="26"/>
      <c r="G27" s="20"/>
      <c r="H27" s="26"/>
      <c r="I27" s="20"/>
      <c r="J27" s="26"/>
      <c r="K27" s="26"/>
      <c r="L27" s="27"/>
      <c r="M27" s="26"/>
      <c r="N27" s="28"/>
      <c r="O27" s="28"/>
    </row>
    <row r="28" spans="1:15" x14ac:dyDescent="0.25">
      <c r="A28" s="35" t="str">
        <f>TEXT(Tabela2[[#This Row],[DATA]],"MMMM")</f>
        <v>janeiro</v>
      </c>
      <c r="B28" s="25"/>
      <c r="C28" s="39"/>
      <c r="D28" s="26"/>
      <c r="E28" s="26"/>
      <c r="F28" s="26"/>
      <c r="G28" s="20"/>
      <c r="H28" s="26"/>
      <c r="I28" s="20"/>
      <c r="J28" s="26"/>
      <c r="K28" s="26"/>
      <c r="L28" s="27"/>
      <c r="M28" s="26"/>
      <c r="N28" s="28"/>
      <c r="O28" s="28"/>
    </row>
    <row r="29" spans="1:15" x14ac:dyDescent="0.25">
      <c r="A29" s="35" t="str">
        <f>TEXT(Tabela2[[#This Row],[DATA]],"MMMM")</f>
        <v>janeiro</v>
      </c>
      <c r="B29" s="25"/>
      <c r="C29" s="39"/>
      <c r="D29" s="26"/>
      <c r="E29" s="26"/>
      <c r="F29" s="26"/>
      <c r="G29" s="20"/>
      <c r="H29" s="26"/>
      <c r="I29" s="20"/>
      <c r="J29" s="26"/>
      <c r="K29" s="26"/>
      <c r="L29" s="27"/>
      <c r="M29" s="26"/>
      <c r="N29" s="28"/>
      <c r="O29" s="28"/>
    </row>
    <row r="30" spans="1:15" x14ac:dyDescent="0.25">
      <c r="A30" s="35" t="str">
        <f>TEXT(Tabela2[[#This Row],[DATA]],"MMMM")</f>
        <v>janeiro</v>
      </c>
      <c r="B30" s="25"/>
      <c r="C30" s="39"/>
      <c r="D30" s="26"/>
      <c r="E30" s="26"/>
      <c r="F30" s="26"/>
      <c r="G30" s="20"/>
      <c r="H30" s="26"/>
      <c r="I30" s="20"/>
      <c r="J30" s="26"/>
      <c r="K30" s="26"/>
      <c r="L30" s="27"/>
      <c r="M30" s="26"/>
      <c r="N30" s="28"/>
      <c r="O30" s="28"/>
    </row>
    <row r="31" spans="1:15" x14ac:dyDescent="0.25">
      <c r="A31" s="35" t="str">
        <f>TEXT(Tabela2[[#This Row],[DATA]],"MMMM")</f>
        <v>janeiro</v>
      </c>
      <c r="B31" s="25"/>
      <c r="C31" s="39"/>
      <c r="D31" s="26"/>
      <c r="E31" s="26"/>
      <c r="F31" s="26"/>
      <c r="G31" s="20"/>
      <c r="H31" s="26"/>
      <c r="I31" s="20"/>
      <c r="J31" s="26"/>
      <c r="K31" s="26"/>
      <c r="L31" s="27"/>
      <c r="M31" s="26"/>
      <c r="N31" s="28"/>
      <c r="O31" s="28"/>
    </row>
    <row r="32" spans="1:15" x14ac:dyDescent="0.25">
      <c r="A32" s="35" t="str">
        <f>TEXT(Tabela2[[#This Row],[DATA]],"MMMM")</f>
        <v>janeiro</v>
      </c>
      <c r="B32" s="25"/>
      <c r="C32" s="39"/>
      <c r="D32" s="26"/>
      <c r="E32" s="26"/>
      <c r="F32" s="26"/>
      <c r="G32" s="20"/>
      <c r="H32" s="26"/>
      <c r="I32" s="20"/>
      <c r="J32" s="26"/>
      <c r="K32" s="26"/>
      <c r="L32" s="27"/>
      <c r="M32" s="26"/>
      <c r="N32" s="28"/>
      <c r="O32" s="28"/>
    </row>
    <row r="33" spans="1:15" x14ac:dyDescent="0.25">
      <c r="A33" s="35" t="str">
        <f>TEXT(Tabela2[[#This Row],[DATA]],"MMMM")</f>
        <v>janeiro</v>
      </c>
      <c r="B33" s="25"/>
      <c r="C33" s="39"/>
      <c r="D33" s="26"/>
      <c r="E33" s="26"/>
      <c r="F33" s="26"/>
      <c r="G33" s="20"/>
      <c r="H33" s="26"/>
      <c r="I33" s="20"/>
      <c r="J33" s="26"/>
      <c r="K33" s="26"/>
      <c r="L33" s="27"/>
      <c r="M33" s="26"/>
      <c r="N33" s="28"/>
      <c r="O33" s="28"/>
    </row>
    <row r="34" spans="1:15" x14ac:dyDescent="0.25">
      <c r="A34" s="35" t="str">
        <f>TEXT(Tabela2[[#This Row],[DATA]],"MMMM")</f>
        <v>janeiro</v>
      </c>
      <c r="B34" s="25"/>
      <c r="C34" s="39"/>
      <c r="D34" s="26"/>
      <c r="E34" s="26"/>
      <c r="F34" s="26"/>
      <c r="G34" s="20"/>
      <c r="H34" s="26"/>
      <c r="I34" s="20"/>
      <c r="J34" s="26"/>
      <c r="K34" s="26"/>
      <c r="L34" s="27"/>
      <c r="M34" s="26"/>
      <c r="N34" s="28"/>
      <c r="O34" s="28"/>
    </row>
    <row r="35" spans="1:15" x14ac:dyDescent="0.25">
      <c r="A35" s="35" t="str">
        <f>TEXT(Tabela2[[#This Row],[DATA]],"MMMM")</f>
        <v>janeiro</v>
      </c>
      <c r="B35" s="25"/>
      <c r="C35" s="39"/>
      <c r="D35" s="26"/>
      <c r="E35" s="26"/>
      <c r="F35" s="26"/>
      <c r="G35" s="20"/>
      <c r="H35" s="26"/>
      <c r="I35" s="20"/>
      <c r="J35" s="26"/>
      <c r="K35" s="26"/>
      <c r="L35" s="27"/>
      <c r="M35" s="26"/>
      <c r="N35" s="28"/>
      <c r="O35" s="28"/>
    </row>
    <row r="36" spans="1:15" x14ac:dyDescent="0.25">
      <c r="A36" s="35" t="str">
        <f>TEXT(Tabela2[[#This Row],[DATA]],"MMMM")</f>
        <v>janeiro</v>
      </c>
      <c r="B36" s="25"/>
      <c r="C36" s="39"/>
      <c r="D36" s="26"/>
      <c r="E36" s="26"/>
      <c r="F36" s="26"/>
      <c r="G36" s="20"/>
      <c r="H36" s="26"/>
      <c r="I36" s="20"/>
      <c r="J36" s="26"/>
      <c r="K36" s="26"/>
      <c r="L36" s="27"/>
      <c r="M36" s="26"/>
      <c r="N36" s="28"/>
      <c r="O36" s="28"/>
    </row>
    <row r="37" spans="1:15" x14ac:dyDescent="0.25">
      <c r="A37" s="35" t="str">
        <f>TEXT(Tabela2[[#This Row],[DATA]],"MMMM")</f>
        <v>janeiro</v>
      </c>
      <c r="B37" s="25"/>
      <c r="C37" s="39"/>
      <c r="D37" s="26"/>
      <c r="E37" s="26"/>
      <c r="F37" s="26"/>
      <c r="G37" s="20"/>
      <c r="H37" s="26"/>
      <c r="I37" s="20"/>
      <c r="J37" s="26"/>
      <c r="K37" s="26"/>
      <c r="L37" s="27"/>
      <c r="M37" s="26"/>
      <c r="N37" s="28"/>
      <c r="O37" s="28"/>
    </row>
    <row r="38" spans="1:15" x14ac:dyDescent="0.25">
      <c r="A38" s="35" t="str">
        <f>TEXT(Tabela2[[#This Row],[DATA]],"MMMM")</f>
        <v>janeiro</v>
      </c>
      <c r="B38" s="25"/>
      <c r="C38" s="39"/>
      <c r="D38" s="26"/>
      <c r="E38" s="26"/>
      <c r="F38" s="26"/>
      <c r="G38" s="20"/>
      <c r="H38" s="26"/>
      <c r="I38" s="20"/>
      <c r="J38" s="26"/>
      <c r="K38" s="26"/>
      <c r="L38" s="27"/>
      <c r="M38" s="26"/>
      <c r="N38" s="28"/>
      <c r="O38" s="28"/>
    </row>
    <row r="39" spans="1:15" x14ac:dyDescent="0.25">
      <c r="A39" s="35" t="str">
        <f>TEXT(Tabela2[[#This Row],[DATA]],"MMMM")</f>
        <v>janeiro</v>
      </c>
      <c r="B39" s="25"/>
      <c r="C39" s="39"/>
      <c r="D39" s="26"/>
      <c r="E39" s="26"/>
      <c r="F39" s="26"/>
      <c r="G39" s="20"/>
      <c r="H39" s="26"/>
      <c r="I39" s="20"/>
      <c r="J39" s="26"/>
      <c r="K39" s="26"/>
      <c r="L39" s="27"/>
      <c r="M39" s="26"/>
      <c r="N39" s="28"/>
      <c r="O39" s="28"/>
    </row>
    <row r="40" spans="1:15" x14ac:dyDescent="0.25">
      <c r="A40" s="35" t="str">
        <f>TEXT(Tabela2[[#This Row],[DATA]],"MMMM")</f>
        <v>janeiro</v>
      </c>
      <c r="B40" s="25"/>
      <c r="C40" s="39"/>
      <c r="D40" s="26"/>
      <c r="E40" s="26"/>
      <c r="F40" s="26"/>
      <c r="G40" s="20"/>
      <c r="H40" s="26"/>
      <c r="I40" s="20"/>
      <c r="J40" s="26"/>
      <c r="K40" s="26"/>
      <c r="L40" s="27"/>
      <c r="M40" s="26"/>
      <c r="N40" s="28"/>
      <c r="O40" s="28"/>
    </row>
    <row r="41" spans="1:15" x14ac:dyDescent="0.25">
      <c r="A41" s="35" t="str">
        <f>TEXT(Tabela2[[#This Row],[DATA]],"MMMM")</f>
        <v>janeiro</v>
      </c>
      <c r="B41" s="25"/>
      <c r="C41" s="39"/>
      <c r="D41" s="26"/>
      <c r="E41" s="26"/>
      <c r="F41" s="26"/>
      <c r="G41" s="20"/>
      <c r="H41" s="26"/>
      <c r="I41" s="20"/>
      <c r="J41" s="26"/>
      <c r="K41" s="26"/>
      <c r="L41" s="27"/>
      <c r="M41" s="26"/>
      <c r="N41" s="28"/>
      <c r="O41" s="28"/>
    </row>
    <row r="42" spans="1:15" x14ac:dyDescent="0.25">
      <c r="A42" s="35" t="str">
        <f>TEXT(Tabela2[[#This Row],[DATA]],"MMMM")</f>
        <v>janeiro</v>
      </c>
      <c r="B42" s="25"/>
      <c r="C42" s="39"/>
      <c r="D42" s="26"/>
      <c r="E42" s="26"/>
      <c r="F42" s="26"/>
      <c r="G42" s="20"/>
      <c r="H42" s="26"/>
      <c r="I42" s="20"/>
      <c r="J42" s="26"/>
      <c r="K42" s="26"/>
      <c r="L42" s="27"/>
      <c r="M42" s="26"/>
      <c r="N42" s="28"/>
      <c r="O42" s="28"/>
    </row>
    <row r="43" spans="1:15" x14ac:dyDescent="0.25">
      <c r="A43" s="35" t="str">
        <f>TEXT(Tabela2[[#This Row],[DATA]],"MMMM")</f>
        <v>janeiro</v>
      </c>
      <c r="B43" s="25"/>
      <c r="C43" s="39"/>
      <c r="D43" s="26"/>
      <c r="E43" s="26"/>
      <c r="F43" s="26"/>
      <c r="G43" s="20"/>
      <c r="H43" s="26"/>
      <c r="I43" s="20"/>
      <c r="J43" s="26"/>
      <c r="K43" s="26"/>
      <c r="L43" s="27"/>
      <c r="M43" s="26"/>
      <c r="N43" s="28"/>
      <c r="O43" s="28"/>
    </row>
    <row r="44" spans="1:15" x14ac:dyDescent="0.25">
      <c r="A44" s="35" t="str">
        <f>TEXT(Tabela2[[#This Row],[DATA]],"MMMM")</f>
        <v>janeiro</v>
      </c>
      <c r="B44" s="25"/>
      <c r="C44" s="39"/>
      <c r="D44" s="26"/>
      <c r="E44" s="26"/>
      <c r="F44" s="26"/>
      <c r="G44" s="20"/>
      <c r="H44" s="26"/>
      <c r="I44" s="20"/>
      <c r="J44" s="26"/>
      <c r="K44" s="26"/>
      <c r="L44" s="27"/>
      <c r="M44" s="26"/>
      <c r="N44" s="28"/>
      <c r="O44" s="28"/>
    </row>
    <row r="45" spans="1:15" x14ac:dyDescent="0.25">
      <c r="A45" s="35" t="str">
        <f>TEXT(Tabela2[[#This Row],[DATA]],"MMMM")</f>
        <v>janeiro</v>
      </c>
      <c r="B45" s="25"/>
      <c r="C45" s="39"/>
      <c r="D45" s="26"/>
      <c r="E45" s="26"/>
      <c r="F45" s="26"/>
      <c r="G45" s="20"/>
      <c r="H45" s="26"/>
      <c r="I45" s="20"/>
      <c r="J45" s="26"/>
      <c r="K45" s="26"/>
      <c r="L45" s="27"/>
      <c r="M45" s="26"/>
      <c r="N45" s="28"/>
      <c r="O45" s="28"/>
    </row>
    <row r="46" spans="1:15" x14ac:dyDescent="0.25">
      <c r="A46" s="35" t="str">
        <f>TEXT(Tabela2[[#This Row],[DATA]],"MMMM")</f>
        <v>janeiro</v>
      </c>
      <c r="B46" s="25"/>
      <c r="C46" s="39"/>
      <c r="D46" s="26"/>
      <c r="E46" s="26"/>
      <c r="F46" s="26"/>
      <c r="G46" s="20"/>
      <c r="H46" s="26"/>
      <c r="I46" s="20"/>
      <c r="J46" s="26"/>
      <c r="K46" s="26"/>
      <c r="L46" s="27"/>
      <c r="M46" s="26"/>
      <c r="N46" s="28"/>
      <c r="O46" s="28"/>
    </row>
    <row r="47" spans="1:15" x14ac:dyDescent="0.25">
      <c r="A47" s="35" t="str">
        <f>TEXT(Tabela2[[#This Row],[DATA]],"MMMM")</f>
        <v>janeiro</v>
      </c>
      <c r="B47" s="25"/>
      <c r="C47" s="39"/>
      <c r="D47" s="26"/>
      <c r="E47" s="26"/>
      <c r="F47" s="26"/>
      <c r="G47" s="20"/>
      <c r="H47" s="26"/>
      <c r="I47" s="20"/>
      <c r="J47" s="26"/>
      <c r="K47" s="26"/>
      <c r="L47" s="27"/>
      <c r="M47" s="26"/>
      <c r="N47" s="28"/>
      <c r="O47" s="28"/>
    </row>
    <row r="48" spans="1:15" x14ac:dyDescent="0.25">
      <c r="A48" s="35" t="str">
        <f>TEXT(Tabela2[[#This Row],[DATA]],"MMMM")</f>
        <v>janeiro</v>
      </c>
      <c r="B48" s="25"/>
      <c r="C48" s="39"/>
      <c r="D48" s="26"/>
      <c r="E48" s="26"/>
      <c r="F48" s="26"/>
      <c r="G48" s="20"/>
      <c r="H48" s="26"/>
      <c r="I48" s="20"/>
      <c r="J48" s="26"/>
      <c r="K48" s="26"/>
      <c r="L48" s="27"/>
      <c r="M48" s="26"/>
      <c r="N48" s="28"/>
      <c r="O48" s="28"/>
    </row>
    <row r="49" spans="1:15" x14ac:dyDescent="0.25">
      <c r="A49" s="35" t="str">
        <f>TEXT(Tabela2[[#This Row],[DATA]],"MMMM")</f>
        <v>janeiro</v>
      </c>
      <c r="B49" s="25"/>
      <c r="C49" s="39"/>
      <c r="D49" s="26"/>
      <c r="E49" s="26"/>
      <c r="F49" s="26"/>
      <c r="G49" s="20"/>
      <c r="H49" s="26"/>
      <c r="I49" s="20"/>
      <c r="J49" s="26"/>
      <c r="K49" s="26"/>
      <c r="L49" s="27"/>
      <c r="M49" s="26"/>
      <c r="N49" s="28"/>
      <c r="O49" s="28"/>
    </row>
    <row r="50" spans="1:15" x14ac:dyDescent="0.25">
      <c r="A50" s="35" t="str">
        <f>TEXT(Tabela2[[#This Row],[DATA]],"MMMM")</f>
        <v>janeiro</v>
      </c>
      <c r="B50" s="25"/>
      <c r="C50" s="39"/>
      <c r="D50" s="26"/>
      <c r="E50" s="26"/>
      <c r="F50" s="26"/>
      <c r="G50" s="20"/>
      <c r="H50" s="26"/>
      <c r="I50" s="20"/>
      <c r="J50" s="26"/>
      <c r="K50" s="26"/>
      <c r="L50" s="27"/>
      <c r="M50" s="26"/>
      <c r="N50" s="28"/>
      <c r="O50" s="28"/>
    </row>
    <row r="51" spans="1:15" x14ac:dyDescent="0.25">
      <c r="A51" s="35" t="str">
        <f>TEXT(Tabela2[[#This Row],[DATA]],"MMMM")</f>
        <v>janeiro</v>
      </c>
      <c r="B51" s="25"/>
      <c r="C51" s="39"/>
      <c r="D51" s="26"/>
      <c r="E51" s="26"/>
      <c r="F51" s="26"/>
      <c r="G51" s="20"/>
      <c r="H51" s="26"/>
      <c r="I51" s="20"/>
      <c r="J51" s="26"/>
      <c r="K51" s="26"/>
      <c r="L51" s="27"/>
      <c r="M51" s="26"/>
      <c r="N51" s="28"/>
      <c r="O51" s="28"/>
    </row>
    <row r="52" spans="1:15" x14ac:dyDescent="0.25">
      <c r="A52" s="35" t="str">
        <f>TEXT(Tabela2[[#This Row],[DATA]],"MMMM")</f>
        <v>janeiro</v>
      </c>
      <c r="B52" s="25"/>
      <c r="C52" s="39"/>
      <c r="D52" s="26"/>
      <c r="E52" s="26"/>
      <c r="F52" s="26"/>
      <c r="G52" s="20"/>
      <c r="H52" s="26"/>
      <c r="I52" s="20"/>
      <c r="J52" s="26"/>
      <c r="K52" s="26"/>
      <c r="L52" s="27"/>
      <c r="M52" s="26"/>
      <c r="N52" s="28"/>
      <c r="O52" s="28"/>
    </row>
    <row r="53" spans="1:15" x14ac:dyDescent="0.25">
      <c r="A53" s="35" t="str">
        <f>TEXT(Tabela2[[#This Row],[DATA]],"MMMM")</f>
        <v>janeiro</v>
      </c>
      <c r="B53" s="25"/>
      <c r="C53" s="39"/>
      <c r="D53" s="26"/>
      <c r="E53" s="26"/>
      <c r="F53" s="26"/>
      <c r="G53" s="20"/>
      <c r="H53" s="26"/>
      <c r="I53" s="20"/>
      <c r="J53" s="26"/>
      <c r="K53" s="26"/>
      <c r="L53" s="27"/>
      <c r="M53" s="26"/>
      <c r="N53" s="28"/>
      <c r="O53" s="28"/>
    </row>
    <row r="54" spans="1:15" x14ac:dyDescent="0.25">
      <c r="A54" s="35" t="str">
        <f>TEXT(Tabela2[[#This Row],[DATA]],"MMMM")</f>
        <v>janeiro</v>
      </c>
      <c r="B54" s="25"/>
      <c r="C54" s="39"/>
      <c r="D54" s="26"/>
      <c r="E54" s="26"/>
      <c r="F54" s="26"/>
      <c r="G54" s="20"/>
      <c r="H54" s="26"/>
      <c r="I54" s="20"/>
      <c r="J54" s="26"/>
      <c r="K54" s="26"/>
      <c r="L54" s="27"/>
      <c r="M54" s="26"/>
      <c r="N54" s="28"/>
      <c r="O54" s="28"/>
    </row>
    <row r="55" spans="1:15" x14ac:dyDescent="0.25">
      <c r="A55" s="35" t="str">
        <f>TEXT(Tabela2[[#This Row],[DATA]],"MMMM")</f>
        <v>janeiro</v>
      </c>
      <c r="B55" s="25"/>
      <c r="C55" s="39"/>
      <c r="D55" s="26"/>
      <c r="E55" s="26"/>
      <c r="F55" s="26"/>
      <c r="G55" s="20"/>
      <c r="H55" s="26"/>
      <c r="I55" s="20"/>
      <c r="J55" s="26"/>
      <c r="K55" s="26"/>
      <c r="L55" s="27"/>
      <c r="M55" s="26"/>
      <c r="N55" s="28"/>
      <c r="O55" s="28"/>
    </row>
    <row r="56" spans="1:15" x14ac:dyDescent="0.25">
      <c r="A56" s="35" t="str">
        <f>TEXT(Tabela2[[#This Row],[DATA]],"MMMM")</f>
        <v>janeiro</v>
      </c>
      <c r="B56" s="25"/>
      <c r="C56" s="39"/>
      <c r="D56" s="26"/>
      <c r="E56" s="26"/>
      <c r="F56" s="26"/>
      <c r="G56" s="20"/>
      <c r="H56" s="26"/>
      <c r="I56" s="20"/>
      <c r="J56" s="26"/>
      <c r="K56" s="26"/>
      <c r="L56" s="27"/>
      <c r="M56" s="26"/>
      <c r="N56" s="28"/>
      <c r="O56" s="28"/>
    </row>
    <row r="57" spans="1:15" x14ac:dyDescent="0.25">
      <c r="A57" s="35" t="str">
        <f>TEXT(Tabela2[[#This Row],[DATA]],"MMMM")</f>
        <v>janeiro</v>
      </c>
      <c r="B57" s="25"/>
      <c r="C57" s="39"/>
      <c r="D57" s="26"/>
      <c r="E57" s="26"/>
      <c r="F57" s="26"/>
      <c r="G57" s="20"/>
      <c r="H57" s="26"/>
      <c r="I57" s="20"/>
      <c r="J57" s="26"/>
      <c r="K57" s="26"/>
      <c r="L57" s="27"/>
      <c r="M57" s="26"/>
      <c r="N57" s="28"/>
      <c r="O57" s="28"/>
    </row>
    <row r="58" spans="1:15" x14ac:dyDescent="0.25">
      <c r="A58" s="35" t="str">
        <f>TEXT(Tabela2[[#This Row],[DATA]],"MMMM")</f>
        <v>janeiro</v>
      </c>
      <c r="B58" s="25"/>
      <c r="C58" s="39"/>
      <c r="D58" s="26"/>
      <c r="E58" s="26"/>
      <c r="F58" s="26"/>
      <c r="G58" s="20"/>
      <c r="H58" s="26"/>
      <c r="I58" s="20"/>
      <c r="J58" s="26"/>
      <c r="K58" s="26"/>
      <c r="L58" s="27"/>
      <c r="M58" s="26"/>
      <c r="N58" s="28"/>
      <c r="O58" s="28"/>
    </row>
    <row r="59" spans="1:15" x14ac:dyDescent="0.25">
      <c r="A59" s="35" t="str">
        <f>TEXT(Tabela2[[#This Row],[DATA]],"MMMM")</f>
        <v>janeiro</v>
      </c>
      <c r="B59" s="25"/>
      <c r="C59" s="39"/>
      <c r="D59" s="26"/>
      <c r="E59" s="26"/>
      <c r="F59" s="26"/>
      <c r="G59" s="20"/>
      <c r="H59" s="26"/>
      <c r="I59" s="20"/>
      <c r="J59" s="26"/>
      <c r="K59" s="26"/>
      <c r="L59" s="27"/>
      <c r="M59" s="26"/>
      <c r="N59" s="28"/>
      <c r="O59" s="28"/>
    </row>
    <row r="60" spans="1:15" x14ac:dyDescent="0.25">
      <c r="A60" s="35" t="str">
        <f>TEXT(Tabela2[[#This Row],[DATA]],"MMMM")</f>
        <v>janeiro</v>
      </c>
      <c r="B60" s="25"/>
      <c r="C60" s="39"/>
      <c r="D60" s="26"/>
      <c r="E60" s="26"/>
      <c r="F60" s="26"/>
      <c r="G60" s="20"/>
      <c r="H60" s="26"/>
      <c r="I60" s="20"/>
      <c r="J60" s="26"/>
      <c r="K60" s="26"/>
      <c r="L60" s="27"/>
      <c r="M60" s="26"/>
      <c r="N60" s="28"/>
      <c r="O60" s="28"/>
    </row>
    <row r="61" spans="1:15" x14ac:dyDescent="0.25">
      <c r="A61" s="35" t="str">
        <f>TEXT(Tabela2[[#This Row],[DATA]],"MMMM")</f>
        <v>janeiro</v>
      </c>
      <c r="B61" s="25"/>
      <c r="C61" s="39"/>
      <c r="D61" s="26"/>
      <c r="E61" s="26"/>
      <c r="F61" s="26"/>
      <c r="G61" s="20"/>
      <c r="H61" s="26"/>
      <c r="I61" s="20"/>
      <c r="J61" s="26"/>
      <c r="K61" s="26"/>
      <c r="L61" s="27"/>
      <c r="M61" s="26"/>
      <c r="N61" s="28"/>
      <c r="O61" s="28"/>
    </row>
    <row r="62" spans="1:15" x14ac:dyDescent="0.25">
      <c r="A62" s="35" t="str">
        <f>TEXT(Tabela2[[#This Row],[DATA]],"MMMM")</f>
        <v>janeiro</v>
      </c>
      <c r="B62" s="25"/>
      <c r="C62" s="39"/>
      <c r="D62" s="26"/>
      <c r="E62" s="26"/>
      <c r="F62" s="26"/>
      <c r="G62" s="20"/>
      <c r="H62" s="26"/>
      <c r="I62" s="20"/>
      <c r="J62" s="26"/>
      <c r="K62" s="26"/>
      <c r="L62" s="27"/>
      <c r="M62" s="26"/>
      <c r="N62" s="28"/>
      <c r="O62" s="28"/>
    </row>
    <row r="63" spans="1:15" x14ac:dyDescent="0.25">
      <c r="A63" s="35" t="str">
        <f>TEXT(Tabela2[[#This Row],[DATA]],"MMMM")</f>
        <v>janeiro</v>
      </c>
      <c r="B63" s="25"/>
      <c r="C63" s="39"/>
      <c r="D63" s="26"/>
      <c r="E63" s="26"/>
      <c r="F63" s="26"/>
      <c r="G63" s="20"/>
      <c r="H63" s="26"/>
      <c r="I63" s="20"/>
      <c r="J63" s="26"/>
      <c r="K63" s="26"/>
      <c r="L63" s="27"/>
      <c r="M63" s="26"/>
      <c r="N63" s="28"/>
      <c r="O63" s="28"/>
    </row>
    <row r="64" spans="1:15" x14ac:dyDescent="0.25">
      <c r="A64" s="35" t="str">
        <f>TEXT(Tabela2[[#This Row],[DATA]],"MMMM")</f>
        <v>janeiro</v>
      </c>
      <c r="B64" s="25"/>
      <c r="C64" s="39"/>
      <c r="D64" s="26"/>
      <c r="E64" s="26"/>
      <c r="F64" s="26"/>
      <c r="G64" s="20"/>
      <c r="H64" s="26"/>
      <c r="I64" s="20"/>
      <c r="J64" s="26"/>
      <c r="K64" s="26"/>
      <c r="L64" s="27"/>
      <c r="M64" s="26"/>
      <c r="N64" s="28"/>
      <c r="O64" s="28"/>
    </row>
    <row r="65" spans="1:15" x14ac:dyDescent="0.25">
      <c r="A65" s="35" t="str">
        <f>TEXT(Tabela2[[#This Row],[DATA]],"MMMM")</f>
        <v>janeiro</v>
      </c>
      <c r="B65" s="25"/>
      <c r="C65" s="39"/>
      <c r="D65" s="26"/>
      <c r="E65" s="26"/>
      <c r="F65" s="26"/>
      <c r="G65" s="20"/>
      <c r="H65" s="26"/>
      <c r="I65" s="20"/>
      <c r="J65" s="26"/>
      <c r="K65" s="26"/>
      <c r="L65" s="27"/>
      <c r="M65" s="26"/>
      <c r="N65" s="28"/>
      <c r="O65" s="28"/>
    </row>
    <row r="66" spans="1:15" x14ac:dyDescent="0.25">
      <c r="A66" s="35" t="str">
        <f>TEXT(Tabela2[[#This Row],[DATA]],"MMMM")</f>
        <v>janeiro</v>
      </c>
      <c r="B66" s="25"/>
      <c r="C66" s="39"/>
      <c r="D66" s="26"/>
      <c r="E66" s="26"/>
      <c r="F66" s="26"/>
      <c r="G66" s="20"/>
      <c r="H66" s="26"/>
      <c r="I66" s="20"/>
      <c r="J66" s="26"/>
      <c r="K66" s="26"/>
      <c r="L66" s="27"/>
      <c r="M66" s="26"/>
      <c r="N66" s="28"/>
      <c r="O66" s="28"/>
    </row>
    <row r="67" spans="1:15" x14ac:dyDescent="0.25">
      <c r="A67" s="35" t="str">
        <f>TEXT(Tabela2[[#This Row],[DATA]],"MMMM")</f>
        <v>janeiro</v>
      </c>
      <c r="B67" s="25"/>
      <c r="C67" s="39"/>
      <c r="D67" s="26"/>
      <c r="E67" s="26"/>
      <c r="F67" s="26"/>
      <c r="G67" s="20"/>
      <c r="H67" s="26"/>
      <c r="I67" s="20"/>
      <c r="J67" s="26"/>
      <c r="K67" s="26"/>
      <c r="L67" s="27"/>
      <c r="M67" s="26"/>
      <c r="N67" s="28"/>
      <c r="O67" s="28"/>
    </row>
    <row r="68" spans="1:15" x14ac:dyDescent="0.25">
      <c r="A68" s="35" t="str">
        <f>TEXT(Tabela2[[#This Row],[DATA]],"MMMM")</f>
        <v>janeiro</v>
      </c>
      <c r="B68" s="25"/>
      <c r="C68" s="39"/>
      <c r="D68" s="26"/>
      <c r="E68" s="26"/>
      <c r="F68" s="26"/>
      <c r="G68" s="20"/>
      <c r="H68" s="26"/>
      <c r="I68" s="20"/>
      <c r="J68" s="26"/>
      <c r="K68" s="26"/>
      <c r="L68" s="27"/>
      <c r="M68" s="26"/>
      <c r="N68" s="28"/>
      <c r="O68" s="28"/>
    </row>
    <row r="69" spans="1:15" x14ac:dyDescent="0.25">
      <c r="A69" s="35" t="str">
        <f>TEXT(Tabela2[[#This Row],[DATA]],"MMMM")</f>
        <v>janeiro</v>
      </c>
      <c r="B69" s="25"/>
      <c r="C69" s="39"/>
      <c r="D69" s="26"/>
      <c r="E69" s="26"/>
      <c r="F69" s="26"/>
      <c r="G69" s="20"/>
      <c r="H69" s="26"/>
      <c r="I69" s="20"/>
      <c r="J69" s="26"/>
      <c r="K69" s="26"/>
      <c r="L69" s="27"/>
      <c r="M69" s="26"/>
      <c r="N69" s="28"/>
      <c r="O69" s="28"/>
    </row>
    <row r="70" spans="1:15" x14ac:dyDescent="0.25">
      <c r="A70" s="35" t="str">
        <f>TEXT(Tabela2[[#This Row],[DATA]],"MMMM")</f>
        <v>janeiro</v>
      </c>
      <c r="B70" s="25"/>
      <c r="C70" s="39"/>
      <c r="D70" s="26"/>
      <c r="E70" s="26"/>
      <c r="F70" s="26"/>
      <c r="G70" s="20"/>
      <c r="H70" s="26"/>
      <c r="I70" s="20"/>
      <c r="J70" s="26"/>
      <c r="K70" s="26"/>
      <c r="L70" s="27"/>
      <c r="M70" s="26"/>
      <c r="N70" s="28"/>
      <c r="O70" s="28"/>
    </row>
    <row r="71" spans="1:15" x14ac:dyDescent="0.25">
      <c r="A71" s="35" t="str">
        <f>TEXT(Tabela2[[#This Row],[DATA]],"MMMM")</f>
        <v>janeiro</v>
      </c>
      <c r="B71" s="25"/>
      <c r="C71" s="39"/>
      <c r="D71" s="26"/>
      <c r="E71" s="26"/>
      <c r="F71" s="26"/>
      <c r="G71" s="20"/>
      <c r="H71" s="26"/>
      <c r="I71" s="20"/>
      <c r="J71" s="26"/>
      <c r="K71" s="26"/>
      <c r="L71" s="27"/>
      <c r="M71" s="26"/>
      <c r="N71" s="28"/>
      <c r="O71" s="28"/>
    </row>
    <row r="72" spans="1:15" x14ac:dyDescent="0.25">
      <c r="A72" s="35" t="str">
        <f>TEXT(Tabela2[[#This Row],[DATA]],"MMMM")</f>
        <v>janeiro</v>
      </c>
      <c r="B72" s="25"/>
      <c r="C72" s="39"/>
      <c r="D72" s="26"/>
      <c r="E72" s="26"/>
      <c r="F72" s="26"/>
      <c r="G72" s="20"/>
      <c r="H72" s="26"/>
      <c r="I72" s="20"/>
      <c r="J72" s="26"/>
      <c r="K72" s="26"/>
      <c r="L72" s="27"/>
      <c r="M72" s="26"/>
      <c r="N72" s="28"/>
      <c r="O72" s="28"/>
    </row>
    <row r="73" spans="1:15" x14ac:dyDescent="0.25">
      <c r="A73" s="35" t="str">
        <f>TEXT(Tabela2[[#This Row],[DATA]],"MMMM")</f>
        <v>janeiro</v>
      </c>
      <c r="B73" s="25"/>
      <c r="C73" s="39"/>
      <c r="D73" s="26"/>
      <c r="E73" s="26"/>
      <c r="F73" s="26"/>
      <c r="G73" s="20"/>
      <c r="H73" s="26"/>
      <c r="I73" s="20"/>
      <c r="J73" s="26"/>
      <c r="K73" s="26"/>
      <c r="L73" s="27"/>
      <c r="M73" s="26"/>
      <c r="N73" s="28"/>
      <c r="O73" s="28"/>
    </row>
    <row r="74" spans="1:15" x14ac:dyDescent="0.25">
      <c r="A74" s="35" t="str">
        <f>TEXT(Tabela2[[#This Row],[DATA]],"MMMM")</f>
        <v>janeiro</v>
      </c>
      <c r="B74" s="25"/>
      <c r="C74" s="39"/>
      <c r="D74" s="26"/>
      <c r="E74" s="26"/>
      <c r="F74" s="26"/>
      <c r="G74" s="20"/>
      <c r="H74" s="26"/>
      <c r="I74" s="20"/>
      <c r="J74" s="26"/>
      <c r="K74" s="26"/>
      <c r="L74" s="27"/>
      <c r="M74" s="26"/>
      <c r="N74" s="28"/>
      <c r="O74" s="28"/>
    </row>
    <row r="75" spans="1:15" x14ac:dyDescent="0.25">
      <c r="A75" s="35" t="str">
        <f>TEXT(Tabela2[[#This Row],[DATA]],"MMMM")</f>
        <v>janeiro</v>
      </c>
      <c r="B75" s="25"/>
      <c r="C75" s="39"/>
      <c r="D75" s="26"/>
      <c r="E75" s="26"/>
      <c r="F75" s="26"/>
      <c r="G75" s="20"/>
      <c r="H75" s="26"/>
      <c r="I75" s="20"/>
      <c r="J75" s="26"/>
      <c r="K75" s="26"/>
      <c r="L75" s="27"/>
      <c r="M75" s="26"/>
      <c r="N75" s="28"/>
      <c r="O75" s="28"/>
    </row>
    <row r="76" spans="1:15" x14ac:dyDescent="0.25">
      <c r="A76" s="35" t="str">
        <f>TEXT(Tabela2[[#This Row],[DATA]],"MMMM")</f>
        <v>janeiro</v>
      </c>
      <c r="B76" s="25"/>
      <c r="C76" s="39"/>
      <c r="D76" s="26"/>
      <c r="E76" s="26"/>
      <c r="F76" s="26"/>
      <c r="G76" s="20"/>
      <c r="H76" s="26"/>
      <c r="I76" s="20"/>
      <c r="J76" s="26"/>
      <c r="K76" s="26"/>
      <c r="L76" s="27"/>
      <c r="M76" s="26"/>
      <c r="N76" s="28"/>
      <c r="O76" s="28"/>
    </row>
    <row r="77" spans="1:15" x14ac:dyDescent="0.25">
      <c r="A77" s="35" t="str">
        <f>TEXT(Tabela2[[#This Row],[DATA]],"MMMM")</f>
        <v>janeiro</v>
      </c>
      <c r="B77" s="25"/>
      <c r="C77" s="39"/>
      <c r="D77" s="26"/>
      <c r="E77" s="26"/>
      <c r="F77" s="26"/>
      <c r="G77" s="20"/>
      <c r="H77" s="26"/>
      <c r="I77" s="20"/>
      <c r="J77" s="26"/>
      <c r="K77" s="26"/>
      <c r="L77" s="27"/>
      <c r="M77" s="26"/>
      <c r="N77" s="28"/>
      <c r="O77" s="28"/>
    </row>
    <row r="78" spans="1:15" x14ac:dyDescent="0.25">
      <c r="A78" s="35" t="str">
        <f>TEXT(Tabela2[[#This Row],[DATA]],"MMMM")</f>
        <v>janeiro</v>
      </c>
      <c r="B78" s="25"/>
      <c r="C78" s="39"/>
      <c r="D78" s="26"/>
      <c r="E78" s="26"/>
      <c r="F78" s="26"/>
      <c r="G78" s="20"/>
      <c r="H78" s="26"/>
      <c r="I78" s="20"/>
      <c r="J78" s="26"/>
      <c r="K78" s="26"/>
      <c r="L78" s="27"/>
      <c r="M78" s="26"/>
      <c r="N78" s="28"/>
      <c r="O78" s="28"/>
    </row>
    <row r="79" spans="1:15" x14ac:dyDescent="0.25">
      <c r="A79" s="35" t="str">
        <f>TEXT(Tabela2[[#This Row],[DATA]],"MMMM")</f>
        <v>janeiro</v>
      </c>
      <c r="B79" s="25"/>
      <c r="C79" s="39"/>
      <c r="D79" s="26"/>
      <c r="E79" s="26"/>
      <c r="F79" s="26"/>
      <c r="G79" s="20"/>
      <c r="H79" s="26"/>
      <c r="I79" s="20"/>
      <c r="J79" s="26"/>
      <c r="K79" s="26"/>
      <c r="L79" s="27"/>
      <c r="M79" s="26"/>
      <c r="N79" s="28"/>
      <c r="O79" s="28"/>
    </row>
    <row r="80" spans="1:15" x14ac:dyDescent="0.25">
      <c r="A80" s="35" t="str">
        <f>TEXT(Tabela2[[#This Row],[DATA]],"MMMM")</f>
        <v>janeiro</v>
      </c>
      <c r="B80" s="25"/>
      <c r="C80" s="39"/>
      <c r="D80" s="26"/>
      <c r="E80" s="26"/>
      <c r="F80" s="26"/>
      <c r="G80" s="20"/>
      <c r="H80" s="26"/>
      <c r="I80" s="20"/>
      <c r="J80" s="26"/>
      <c r="K80" s="26"/>
      <c r="L80" s="27"/>
      <c r="M80" s="26"/>
      <c r="N80" s="28"/>
      <c r="O80" s="28"/>
    </row>
    <row r="81" spans="1:15" x14ac:dyDescent="0.25">
      <c r="A81" s="35" t="str">
        <f>TEXT(Tabela2[[#This Row],[DATA]],"MMMM")</f>
        <v>janeiro</v>
      </c>
      <c r="B81" s="25"/>
      <c r="C81" s="39"/>
      <c r="D81" s="26"/>
      <c r="E81" s="26"/>
      <c r="F81" s="26"/>
      <c r="G81" s="20"/>
      <c r="H81" s="26"/>
      <c r="I81" s="20"/>
      <c r="J81" s="26"/>
      <c r="K81" s="26"/>
      <c r="L81" s="27"/>
      <c r="M81" s="26"/>
      <c r="N81" s="28"/>
      <c r="O81" s="28"/>
    </row>
    <row r="82" spans="1:15" x14ac:dyDescent="0.25">
      <c r="A82" s="35" t="str">
        <f>TEXT(Tabela2[[#This Row],[DATA]],"MMMM")</f>
        <v>janeiro</v>
      </c>
      <c r="B82" s="25"/>
      <c r="C82" s="39"/>
      <c r="D82" s="26"/>
      <c r="E82" s="26"/>
      <c r="F82" s="26"/>
      <c r="G82" s="20"/>
      <c r="H82" s="26"/>
      <c r="I82" s="20"/>
      <c r="J82" s="26"/>
      <c r="K82" s="26"/>
      <c r="L82" s="27"/>
      <c r="M82" s="26"/>
      <c r="N82" s="28"/>
      <c r="O82" s="28"/>
    </row>
    <row r="83" spans="1:15" x14ac:dyDescent="0.25">
      <c r="A83" s="35" t="str">
        <f>TEXT(Tabela2[[#This Row],[DATA]],"MMMM")</f>
        <v>janeiro</v>
      </c>
      <c r="B83" s="25"/>
      <c r="C83" s="39"/>
      <c r="D83" s="26"/>
      <c r="E83" s="26"/>
      <c r="F83" s="26"/>
      <c r="G83" s="20"/>
      <c r="H83" s="26"/>
      <c r="I83" s="20"/>
      <c r="J83" s="26"/>
      <c r="K83" s="26"/>
      <c r="L83" s="27"/>
      <c r="M83" s="26"/>
      <c r="N83" s="28"/>
      <c r="O83" s="28"/>
    </row>
    <row r="84" spans="1:15" x14ac:dyDescent="0.25">
      <c r="A84" s="35" t="str">
        <f>TEXT(Tabela2[[#This Row],[DATA]],"MMMM")</f>
        <v>janeiro</v>
      </c>
      <c r="B84" s="25"/>
      <c r="C84" s="39"/>
      <c r="D84" s="26"/>
      <c r="E84" s="26"/>
      <c r="F84" s="26"/>
      <c r="G84" s="20"/>
      <c r="H84" s="26"/>
      <c r="I84" s="20"/>
      <c r="J84" s="26"/>
      <c r="K84" s="26"/>
      <c r="L84" s="27"/>
      <c r="M84" s="26"/>
      <c r="N84" s="28"/>
      <c r="O84" s="28"/>
    </row>
    <row r="85" spans="1:15" x14ac:dyDescent="0.25">
      <c r="A85" s="35" t="str">
        <f>TEXT(Tabela2[[#This Row],[DATA]],"MMMM")</f>
        <v>janeiro</v>
      </c>
      <c r="B85" s="25"/>
      <c r="C85" s="39"/>
      <c r="D85" s="26"/>
      <c r="E85" s="26"/>
      <c r="F85" s="26"/>
      <c r="G85" s="20"/>
      <c r="H85" s="26"/>
      <c r="I85" s="20"/>
      <c r="J85" s="26"/>
      <c r="K85" s="26"/>
      <c r="L85" s="27"/>
      <c r="M85" s="26"/>
      <c r="N85" s="28"/>
      <c r="O85" s="28"/>
    </row>
    <row r="86" spans="1:15" x14ac:dyDescent="0.25">
      <c r="A86" s="35" t="str">
        <f>TEXT(Tabela2[[#This Row],[DATA]],"MMMM")</f>
        <v>janeiro</v>
      </c>
      <c r="B86" s="25"/>
      <c r="C86" s="39"/>
      <c r="D86" s="26"/>
      <c r="E86" s="26"/>
      <c r="F86" s="26"/>
      <c r="G86" s="20"/>
      <c r="H86" s="26"/>
      <c r="I86" s="20"/>
      <c r="J86" s="26"/>
      <c r="K86" s="26"/>
      <c r="L86" s="27"/>
      <c r="M86" s="26"/>
      <c r="N86" s="28"/>
      <c r="O86" s="28"/>
    </row>
    <row r="87" spans="1:15" x14ac:dyDescent="0.25">
      <c r="A87" s="35" t="str">
        <f>TEXT(Tabela2[[#This Row],[DATA]],"MMMM")</f>
        <v>janeiro</v>
      </c>
      <c r="B87" s="25"/>
      <c r="C87" s="39"/>
      <c r="D87" s="26"/>
      <c r="E87" s="26"/>
      <c r="F87" s="26"/>
      <c r="G87" s="20"/>
      <c r="H87" s="26"/>
      <c r="I87" s="20"/>
      <c r="J87" s="26"/>
      <c r="K87" s="26"/>
      <c r="L87" s="27"/>
      <c r="M87" s="26"/>
      <c r="N87" s="28"/>
      <c r="O87" s="28"/>
    </row>
    <row r="88" spans="1:15" x14ac:dyDescent="0.25">
      <c r="A88" s="35" t="str">
        <f>TEXT(Tabela2[[#This Row],[DATA]],"MMMM")</f>
        <v>janeiro</v>
      </c>
      <c r="B88" s="25"/>
      <c r="C88" s="39"/>
      <c r="D88" s="26"/>
      <c r="E88" s="26"/>
      <c r="F88" s="26"/>
      <c r="G88" s="20"/>
      <c r="H88" s="26"/>
      <c r="I88" s="20"/>
      <c r="J88" s="26"/>
      <c r="K88" s="26"/>
      <c r="L88" s="27"/>
      <c r="M88" s="26"/>
      <c r="N88" s="28"/>
      <c r="O88" s="28"/>
    </row>
    <row r="89" spans="1:15" x14ac:dyDescent="0.25">
      <c r="A89" s="35" t="str">
        <f>TEXT(Tabela2[[#This Row],[DATA]],"MMMM")</f>
        <v>janeiro</v>
      </c>
      <c r="B89" s="25"/>
      <c r="C89" s="39"/>
      <c r="D89" s="26"/>
      <c r="E89" s="26"/>
      <c r="F89" s="26"/>
      <c r="G89" s="20"/>
      <c r="H89" s="26"/>
      <c r="I89" s="20"/>
      <c r="J89" s="26"/>
      <c r="K89" s="26"/>
      <c r="L89" s="27"/>
      <c r="M89" s="26"/>
      <c r="N89" s="28"/>
      <c r="O89" s="28"/>
    </row>
    <row r="90" spans="1:15" x14ac:dyDescent="0.25">
      <c r="A90" s="35" t="str">
        <f>TEXT(Tabela2[[#This Row],[DATA]],"MMMM")</f>
        <v>janeiro</v>
      </c>
      <c r="B90" s="25"/>
      <c r="C90" s="39"/>
      <c r="D90" s="26"/>
      <c r="E90" s="26"/>
      <c r="F90" s="26"/>
      <c r="G90" s="20"/>
      <c r="H90" s="26"/>
      <c r="I90" s="20"/>
      <c r="J90" s="26"/>
      <c r="K90" s="26"/>
      <c r="L90" s="27"/>
      <c r="M90" s="26"/>
      <c r="N90" s="28"/>
      <c r="O90" s="28"/>
    </row>
    <row r="91" spans="1:15" x14ac:dyDescent="0.25">
      <c r="A91" s="35" t="str">
        <f>TEXT(Tabela2[[#This Row],[DATA]],"MMMM")</f>
        <v>janeiro</v>
      </c>
      <c r="B91" s="25"/>
      <c r="C91" s="39"/>
      <c r="D91" s="26"/>
      <c r="E91" s="26"/>
      <c r="F91" s="26"/>
      <c r="G91" s="20"/>
      <c r="H91" s="26"/>
      <c r="I91" s="20"/>
      <c r="J91" s="26"/>
      <c r="K91" s="26"/>
      <c r="L91" s="27"/>
      <c r="M91" s="26"/>
      <c r="N91" s="28"/>
      <c r="O91" s="28"/>
    </row>
    <row r="92" spans="1:15" x14ac:dyDescent="0.25">
      <c r="A92" s="35" t="str">
        <f>TEXT(Tabela2[[#This Row],[DATA]],"MMMM")</f>
        <v>janeiro</v>
      </c>
      <c r="B92" s="25"/>
      <c r="C92" s="39"/>
      <c r="D92" s="26"/>
      <c r="E92" s="26"/>
      <c r="F92" s="26"/>
      <c r="G92" s="20"/>
      <c r="H92" s="26"/>
      <c r="I92" s="20"/>
      <c r="J92" s="26"/>
      <c r="K92" s="26"/>
      <c r="L92" s="27"/>
      <c r="M92" s="26"/>
      <c r="N92" s="28"/>
      <c r="O92" s="28"/>
    </row>
    <row r="93" spans="1:15" x14ac:dyDescent="0.25">
      <c r="A93" s="35" t="str">
        <f>TEXT(Tabela2[[#This Row],[DATA]],"MMMM")</f>
        <v>janeiro</v>
      </c>
      <c r="B93" s="25"/>
      <c r="C93" s="39"/>
      <c r="D93" s="26"/>
      <c r="E93" s="26"/>
      <c r="F93" s="26"/>
      <c r="G93" s="20"/>
      <c r="H93" s="26"/>
      <c r="I93" s="20"/>
      <c r="J93" s="26"/>
      <c r="K93" s="26"/>
      <c r="L93" s="27"/>
      <c r="M93" s="26"/>
      <c r="N93" s="28"/>
      <c r="O93" s="28"/>
    </row>
    <row r="94" spans="1:15" x14ac:dyDescent="0.25">
      <c r="A94" s="35" t="str">
        <f>TEXT(Tabela2[[#This Row],[DATA]],"MMMM")</f>
        <v>janeiro</v>
      </c>
      <c r="B94" s="25"/>
      <c r="C94" s="39"/>
      <c r="D94" s="26"/>
      <c r="E94" s="26"/>
      <c r="F94" s="26"/>
      <c r="G94" s="20"/>
      <c r="H94" s="26"/>
      <c r="I94" s="20"/>
      <c r="J94" s="26"/>
      <c r="K94" s="26"/>
      <c r="L94" s="27"/>
      <c r="M94" s="26"/>
      <c r="N94" s="28"/>
      <c r="O94" s="28"/>
    </row>
    <row r="95" spans="1:15" x14ac:dyDescent="0.25">
      <c r="A95" s="35" t="str">
        <f>TEXT(Tabela2[[#This Row],[DATA]],"MMMM")</f>
        <v>janeiro</v>
      </c>
      <c r="B95" s="25"/>
      <c r="C95" s="39"/>
      <c r="D95" s="26"/>
      <c r="E95" s="26"/>
      <c r="F95" s="26"/>
      <c r="G95" s="20"/>
      <c r="H95" s="26"/>
      <c r="I95" s="20"/>
      <c r="J95" s="26"/>
      <c r="K95" s="26"/>
      <c r="L95" s="27"/>
      <c r="M95" s="26"/>
      <c r="N95" s="28"/>
      <c r="O95" s="28"/>
    </row>
    <row r="96" spans="1:15" x14ac:dyDescent="0.25">
      <c r="A96" s="35" t="str">
        <f>TEXT(Tabela2[[#This Row],[DATA]],"MMMM")</f>
        <v>janeiro</v>
      </c>
      <c r="B96" s="25"/>
      <c r="C96" s="39"/>
      <c r="D96" s="26"/>
      <c r="E96" s="26"/>
      <c r="F96" s="26"/>
      <c r="G96" s="20"/>
      <c r="H96" s="26"/>
      <c r="I96" s="20"/>
      <c r="J96" s="26"/>
      <c r="K96" s="26"/>
      <c r="L96" s="27"/>
      <c r="M96" s="26"/>
      <c r="N96" s="28"/>
      <c r="O96" s="28"/>
    </row>
    <row r="97" spans="1:15" x14ac:dyDescent="0.25">
      <c r="A97" s="35" t="str">
        <f>TEXT(Tabela2[[#This Row],[DATA]],"MMMM")</f>
        <v>janeiro</v>
      </c>
      <c r="B97" s="25"/>
      <c r="C97" s="39"/>
      <c r="D97" s="26"/>
      <c r="E97" s="26"/>
      <c r="F97" s="26"/>
      <c r="G97" s="20"/>
      <c r="H97" s="26"/>
      <c r="I97" s="20"/>
      <c r="J97" s="26"/>
      <c r="K97" s="26"/>
      <c r="L97" s="27"/>
      <c r="M97" s="26"/>
      <c r="N97" s="28"/>
      <c r="O97" s="28"/>
    </row>
    <row r="98" spans="1:15" x14ac:dyDescent="0.25">
      <c r="A98" s="35" t="str">
        <f>TEXT(Tabela2[[#This Row],[DATA]],"MMMM")</f>
        <v>janeiro</v>
      </c>
      <c r="B98" s="25"/>
      <c r="C98" s="39"/>
      <c r="D98" s="26"/>
      <c r="E98" s="26"/>
      <c r="F98" s="26"/>
      <c r="G98" s="20"/>
      <c r="H98" s="26"/>
      <c r="I98" s="20"/>
      <c r="J98" s="26"/>
      <c r="K98" s="26"/>
      <c r="L98" s="27"/>
      <c r="M98" s="26"/>
      <c r="N98" s="28"/>
      <c r="O98" s="28"/>
    </row>
    <row r="99" spans="1:15" x14ac:dyDescent="0.25">
      <c r="A99" s="35" t="str">
        <f>TEXT(Tabela2[[#This Row],[DATA]],"MMMM")</f>
        <v>janeiro</v>
      </c>
      <c r="B99" s="25"/>
      <c r="C99" s="39"/>
      <c r="D99" s="26"/>
      <c r="E99" s="26"/>
      <c r="F99" s="26"/>
      <c r="G99" s="20"/>
      <c r="H99" s="26"/>
      <c r="I99" s="20"/>
      <c r="J99" s="26"/>
      <c r="K99" s="26"/>
      <c r="L99" s="27"/>
      <c r="M99" s="26"/>
      <c r="N99" s="28"/>
      <c r="O99" s="28"/>
    </row>
    <row r="100" spans="1:15" x14ac:dyDescent="0.25">
      <c r="A100" s="35" t="str">
        <f>TEXT(Tabela2[[#This Row],[DATA]],"MMMM")</f>
        <v>janeiro</v>
      </c>
      <c r="B100" s="25"/>
      <c r="C100" s="39"/>
      <c r="D100" s="26"/>
      <c r="E100" s="26"/>
      <c r="F100" s="26"/>
      <c r="G100" s="20"/>
      <c r="H100" s="26"/>
      <c r="I100" s="20"/>
      <c r="J100" s="26"/>
      <c r="K100" s="26"/>
      <c r="L100" s="27"/>
      <c r="M100" s="26"/>
      <c r="N100" s="28"/>
      <c r="O100" s="28"/>
    </row>
    <row r="101" spans="1:15" x14ac:dyDescent="0.25">
      <c r="A101" s="35" t="str">
        <f>TEXT(Tabela2[[#This Row],[DATA]],"MMMM")</f>
        <v>janeiro</v>
      </c>
      <c r="B101" s="25"/>
      <c r="C101" s="39"/>
      <c r="D101" s="26"/>
      <c r="E101" s="26"/>
      <c r="F101" s="26"/>
      <c r="G101" s="20"/>
      <c r="H101" s="26"/>
      <c r="I101" s="20"/>
      <c r="J101" s="26"/>
      <c r="K101" s="26"/>
      <c r="L101" s="27"/>
      <c r="M101" s="26"/>
      <c r="N101" s="28"/>
      <c r="O101" s="28"/>
    </row>
    <row r="102" spans="1:15" x14ac:dyDescent="0.25">
      <c r="A102" s="35" t="str">
        <f>TEXT(Tabela2[[#This Row],[DATA]],"MMMM")</f>
        <v>janeiro</v>
      </c>
      <c r="B102" s="25"/>
      <c r="C102" s="39"/>
      <c r="D102" s="26"/>
      <c r="E102" s="26"/>
      <c r="F102" s="26"/>
      <c r="G102" s="20"/>
      <c r="H102" s="26"/>
      <c r="I102" s="20"/>
      <c r="J102" s="26"/>
      <c r="K102" s="26"/>
      <c r="L102" s="27"/>
      <c r="M102" s="26"/>
      <c r="N102" s="28"/>
      <c r="O102" s="28"/>
    </row>
    <row r="103" spans="1:15" x14ac:dyDescent="0.25">
      <c r="A103" s="35" t="str">
        <f>TEXT(Tabela2[[#This Row],[DATA]],"MMMM")</f>
        <v>janeiro</v>
      </c>
      <c r="B103" s="25"/>
      <c r="C103" s="39"/>
      <c r="D103" s="26"/>
      <c r="E103" s="26"/>
      <c r="F103" s="26"/>
      <c r="G103" s="20"/>
      <c r="H103" s="26"/>
      <c r="I103" s="20"/>
      <c r="J103" s="26"/>
      <c r="K103" s="26"/>
      <c r="L103" s="27"/>
      <c r="M103" s="26"/>
      <c r="N103" s="28"/>
      <c r="O103" s="28"/>
    </row>
    <row r="104" spans="1:15" x14ac:dyDescent="0.25">
      <c r="A104" s="35" t="str">
        <f>TEXT(Tabela2[[#This Row],[DATA]],"MMMM")</f>
        <v>janeiro</v>
      </c>
      <c r="B104" s="25"/>
      <c r="C104" s="39"/>
      <c r="D104" s="26"/>
      <c r="E104" s="26"/>
      <c r="F104" s="26"/>
      <c r="G104" s="20"/>
      <c r="H104" s="26"/>
      <c r="I104" s="20"/>
      <c r="J104" s="26"/>
      <c r="K104" s="26"/>
      <c r="L104" s="27"/>
      <c r="M104" s="26"/>
      <c r="N104" s="28"/>
      <c r="O104" s="28"/>
    </row>
    <row r="105" spans="1:15" x14ac:dyDescent="0.25">
      <c r="A105" s="35" t="str">
        <f>TEXT(Tabela2[[#This Row],[DATA]],"MMMM")</f>
        <v>janeiro</v>
      </c>
      <c r="B105" s="25"/>
      <c r="C105" s="39"/>
      <c r="D105" s="26"/>
      <c r="E105" s="26"/>
      <c r="F105" s="26"/>
      <c r="G105" s="20"/>
      <c r="H105" s="26"/>
      <c r="I105" s="20"/>
      <c r="J105" s="26"/>
      <c r="K105" s="26"/>
      <c r="L105" s="27"/>
      <c r="M105" s="26"/>
      <c r="N105" s="28"/>
      <c r="O105" s="28"/>
    </row>
    <row r="106" spans="1:15" x14ac:dyDescent="0.25">
      <c r="A106" s="35" t="str">
        <f>TEXT(Tabela2[[#This Row],[DATA]],"MMMM")</f>
        <v>janeiro</v>
      </c>
      <c r="B106" s="25"/>
      <c r="C106" s="39"/>
      <c r="D106" s="26"/>
      <c r="E106" s="26"/>
      <c r="F106" s="26"/>
      <c r="G106" s="20"/>
      <c r="H106" s="26"/>
      <c r="I106" s="20"/>
      <c r="J106" s="26"/>
      <c r="K106" s="26"/>
      <c r="L106" s="27"/>
      <c r="M106" s="26"/>
      <c r="N106" s="28"/>
      <c r="O106" s="28"/>
    </row>
    <row r="107" spans="1:15" x14ac:dyDescent="0.25">
      <c r="A107" s="35" t="str">
        <f>TEXT(Tabela2[[#This Row],[DATA]],"MMMM")</f>
        <v>janeiro</v>
      </c>
      <c r="B107" s="25"/>
      <c r="C107" s="39"/>
      <c r="D107" s="26"/>
      <c r="E107" s="26"/>
      <c r="F107" s="26"/>
      <c r="G107" s="20"/>
      <c r="H107" s="26"/>
      <c r="I107" s="20"/>
      <c r="J107" s="26"/>
      <c r="K107" s="26"/>
      <c r="L107" s="27"/>
      <c r="M107" s="26"/>
      <c r="N107" s="28"/>
      <c r="O107" s="28"/>
    </row>
    <row r="108" spans="1:15" x14ac:dyDescent="0.25">
      <c r="A108" s="35" t="str">
        <f>TEXT(Tabela2[[#This Row],[DATA]],"MMMM")</f>
        <v>janeiro</v>
      </c>
      <c r="B108" s="25"/>
      <c r="C108" s="39"/>
      <c r="D108" s="26"/>
      <c r="E108" s="26"/>
      <c r="F108" s="26"/>
      <c r="G108" s="20"/>
      <c r="H108" s="26"/>
      <c r="I108" s="20"/>
      <c r="J108" s="26"/>
      <c r="K108" s="26"/>
      <c r="L108" s="27"/>
      <c r="M108" s="26"/>
      <c r="N108" s="28"/>
      <c r="O108" s="28"/>
    </row>
    <row r="109" spans="1:15" x14ac:dyDescent="0.25">
      <c r="A109" s="35" t="str">
        <f>TEXT(Tabela2[[#This Row],[DATA]],"MMMM")</f>
        <v>janeiro</v>
      </c>
      <c r="B109" s="25"/>
      <c r="C109" s="39"/>
      <c r="D109" s="26"/>
      <c r="E109" s="26"/>
      <c r="F109" s="26"/>
      <c r="G109" s="20"/>
      <c r="H109" s="26"/>
      <c r="I109" s="20"/>
      <c r="J109" s="26"/>
      <c r="K109" s="26"/>
      <c r="L109" s="27"/>
      <c r="M109" s="26"/>
      <c r="N109" s="28"/>
      <c r="O109" s="28"/>
    </row>
    <row r="110" spans="1:15" x14ac:dyDescent="0.25">
      <c r="A110" s="35" t="str">
        <f>TEXT(Tabela2[[#This Row],[DATA]],"MMMM")</f>
        <v>janeiro</v>
      </c>
      <c r="B110" s="25"/>
      <c r="C110" s="39"/>
      <c r="D110" s="26"/>
      <c r="E110" s="26"/>
      <c r="F110" s="26"/>
      <c r="G110" s="20"/>
      <c r="H110" s="26"/>
      <c r="I110" s="20"/>
      <c r="J110" s="26"/>
      <c r="K110" s="26"/>
      <c r="L110" s="27"/>
      <c r="M110" s="26"/>
      <c r="N110" s="28"/>
      <c r="O110" s="28"/>
    </row>
    <row r="111" spans="1:15" x14ac:dyDescent="0.25">
      <c r="A111" s="35" t="str">
        <f>TEXT(Tabela2[[#This Row],[DATA]],"MMMM")</f>
        <v>janeiro</v>
      </c>
      <c r="B111" s="25"/>
      <c r="C111" s="39"/>
      <c r="D111" s="26"/>
      <c r="E111" s="26"/>
      <c r="F111" s="26"/>
      <c r="G111" s="20"/>
      <c r="H111" s="26"/>
      <c r="I111" s="20"/>
      <c r="J111" s="26"/>
      <c r="K111" s="26"/>
      <c r="L111" s="27"/>
      <c r="M111" s="26"/>
      <c r="N111" s="28"/>
      <c r="O111" s="28"/>
    </row>
    <row r="112" spans="1:15" x14ac:dyDescent="0.25">
      <c r="A112" s="35" t="str">
        <f>TEXT(Tabela2[[#This Row],[DATA]],"MMMM")</f>
        <v>janeiro</v>
      </c>
      <c r="B112" s="25"/>
      <c r="C112" s="39"/>
      <c r="D112" s="26"/>
      <c r="E112" s="26"/>
      <c r="F112" s="26"/>
      <c r="G112" s="20"/>
      <c r="H112" s="26"/>
      <c r="I112" s="20"/>
      <c r="J112" s="26"/>
      <c r="K112" s="26"/>
      <c r="L112" s="27"/>
      <c r="M112" s="26"/>
      <c r="N112" s="28"/>
      <c r="O112" s="28"/>
    </row>
    <row r="113" spans="1:15" x14ac:dyDescent="0.25">
      <c r="A113" s="35" t="str">
        <f>TEXT(Tabela2[[#This Row],[DATA]],"MMMM")</f>
        <v>janeiro</v>
      </c>
      <c r="B113" s="25"/>
      <c r="C113" s="39"/>
      <c r="D113" s="26"/>
      <c r="E113" s="26"/>
      <c r="F113" s="26"/>
      <c r="G113" s="20"/>
      <c r="H113" s="26"/>
      <c r="I113" s="20"/>
      <c r="J113" s="26"/>
      <c r="K113" s="26"/>
      <c r="L113" s="27"/>
      <c r="M113" s="26"/>
      <c r="N113" s="28"/>
      <c r="O113" s="28"/>
    </row>
    <row r="114" spans="1:15" x14ac:dyDescent="0.25">
      <c r="A114" s="35" t="str">
        <f>TEXT(Tabela2[[#This Row],[DATA]],"MMMM")</f>
        <v>janeiro</v>
      </c>
      <c r="B114" s="25"/>
      <c r="C114" s="39"/>
      <c r="D114" s="26"/>
      <c r="E114" s="26"/>
      <c r="F114" s="26"/>
      <c r="G114" s="20"/>
      <c r="H114" s="26"/>
      <c r="I114" s="20"/>
      <c r="J114" s="26"/>
      <c r="K114" s="26"/>
      <c r="L114" s="27"/>
      <c r="M114" s="26"/>
      <c r="N114" s="28"/>
      <c r="O114" s="28"/>
    </row>
    <row r="115" spans="1:15" x14ac:dyDescent="0.25">
      <c r="A115" s="35" t="str">
        <f>TEXT(Tabela2[[#This Row],[DATA]],"MMMM")</f>
        <v>janeiro</v>
      </c>
      <c r="B115" s="25"/>
      <c r="C115" s="39"/>
      <c r="D115" s="26"/>
      <c r="E115" s="26"/>
      <c r="F115" s="26"/>
      <c r="G115" s="20"/>
      <c r="H115" s="26"/>
      <c r="I115" s="20"/>
      <c r="J115" s="26"/>
      <c r="K115" s="26"/>
      <c r="L115" s="27"/>
      <c r="M115" s="26"/>
      <c r="N115" s="28"/>
      <c r="O115" s="28"/>
    </row>
    <row r="116" spans="1:15" x14ac:dyDescent="0.25">
      <c r="A116" s="35" t="str">
        <f>TEXT(Tabela2[[#This Row],[DATA]],"MMMM")</f>
        <v>janeiro</v>
      </c>
      <c r="B116" s="25"/>
      <c r="C116" s="39"/>
      <c r="D116" s="26"/>
      <c r="E116" s="26"/>
      <c r="F116" s="26"/>
      <c r="G116" s="20"/>
      <c r="H116" s="26"/>
      <c r="I116" s="20"/>
      <c r="J116" s="26"/>
      <c r="K116" s="26"/>
      <c r="L116" s="27"/>
      <c r="M116" s="26"/>
      <c r="N116" s="28"/>
      <c r="O116" s="28"/>
    </row>
    <row r="117" spans="1:15" x14ac:dyDescent="0.25">
      <c r="A117" s="35" t="str">
        <f>TEXT(Tabela2[[#This Row],[DATA]],"MMMM")</f>
        <v>janeiro</v>
      </c>
      <c r="B117" s="25"/>
      <c r="C117" s="39"/>
      <c r="D117" s="26"/>
      <c r="E117" s="26"/>
      <c r="F117" s="26"/>
      <c r="G117" s="20"/>
      <c r="H117" s="26"/>
      <c r="I117" s="20"/>
      <c r="J117" s="26"/>
      <c r="K117" s="26"/>
      <c r="L117" s="27"/>
      <c r="M117" s="26"/>
      <c r="N117" s="28"/>
      <c r="O117" s="28"/>
    </row>
    <row r="118" spans="1:15" x14ac:dyDescent="0.25">
      <c r="A118" s="35" t="str">
        <f>TEXT(Tabela2[[#This Row],[DATA]],"MMMM")</f>
        <v>janeiro</v>
      </c>
      <c r="B118" s="25"/>
      <c r="C118" s="39"/>
      <c r="D118" s="26"/>
      <c r="E118" s="26"/>
      <c r="F118" s="26"/>
      <c r="G118" s="20"/>
      <c r="H118" s="26"/>
      <c r="I118" s="20"/>
      <c r="J118" s="26"/>
      <c r="K118" s="26"/>
      <c r="L118" s="27"/>
      <c r="M118" s="26"/>
      <c r="N118" s="28"/>
      <c r="O118" s="28"/>
    </row>
    <row r="119" spans="1:15" x14ac:dyDescent="0.25">
      <c r="A119" s="35" t="str">
        <f>TEXT(Tabela2[[#This Row],[DATA]],"MMMM")</f>
        <v>janeiro</v>
      </c>
      <c r="B119" s="25"/>
      <c r="C119" s="39"/>
      <c r="D119" s="26"/>
      <c r="E119" s="26"/>
      <c r="F119" s="26"/>
      <c r="G119" s="20"/>
      <c r="H119" s="26"/>
      <c r="I119" s="20"/>
      <c r="J119" s="26"/>
      <c r="K119" s="26"/>
      <c r="L119" s="27"/>
      <c r="M119" s="26"/>
      <c r="N119" s="28"/>
      <c r="O119" s="28"/>
    </row>
    <row r="120" spans="1:15" x14ac:dyDescent="0.25">
      <c r="A120" s="35" t="str">
        <f>TEXT(Tabela2[[#This Row],[DATA]],"MMMM")</f>
        <v>janeiro</v>
      </c>
      <c r="B120" s="25"/>
      <c r="C120" s="39"/>
      <c r="D120" s="26"/>
      <c r="E120" s="26"/>
      <c r="F120" s="26"/>
      <c r="G120" s="20"/>
      <c r="H120" s="26"/>
      <c r="I120" s="20"/>
      <c r="J120" s="26"/>
      <c r="K120" s="26"/>
      <c r="L120" s="27"/>
      <c r="M120" s="26"/>
      <c r="N120" s="28"/>
      <c r="O120" s="28"/>
    </row>
    <row r="121" spans="1:15" x14ac:dyDescent="0.25">
      <c r="A121" s="35" t="str">
        <f>TEXT(Tabela2[[#This Row],[DATA]],"MMMM")</f>
        <v>janeiro</v>
      </c>
      <c r="B121" s="25"/>
      <c r="C121" s="39"/>
      <c r="D121" s="26"/>
      <c r="E121" s="26"/>
      <c r="F121" s="26"/>
      <c r="G121" s="20"/>
      <c r="H121" s="26"/>
      <c r="I121" s="20"/>
      <c r="J121" s="26"/>
      <c r="K121" s="26"/>
      <c r="L121" s="27"/>
      <c r="M121" s="26"/>
      <c r="N121" s="28"/>
      <c r="O121" s="28"/>
    </row>
    <row r="122" spans="1:15" x14ac:dyDescent="0.25">
      <c r="A122" s="35" t="str">
        <f>TEXT(Tabela2[[#This Row],[DATA]],"MMMM")</f>
        <v>janeiro</v>
      </c>
      <c r="B122" s="25"/>
      <c r="C122" s="39"/>
      <c r="D122" s="26"/>
      <c r="E122" s="26"/>
      <c r="F122" s="26"/>
      <c r="G122" s="20"/>
      <c r="H122" s="26"/>
      <c r="I122" s="20"/>
      <c r="J122" s="26"/>
      <c r="K122" s="26"/>
      <c r="L122" s="27"/>
      <c r="M122" s="26"/>
      <c r="N122" s="28"/>
      <c r="O122" s="28"/>
    </row>
    <row r="123" spans="1:15" x14ac:dyDescent="0.25">
      <c r="A123" s="35" t="str">
        <f>TEXT(Tabela2[[#This Row],[DATA]],"MMMM")</f>
        <v>janeiro</v>
      </c>
      <c r="B123" s="25"/>
      <c r="C123" s="39"/>
      <c r="D123" s="26"/>
      <c r="E123" s="26"/>
      <c r="F123" s="26"/>
      <c r="G123" s="20"/>
      <c r="H123" s="26"/>
      <c r="I123" s="20"/>
      <c r="J123" s="26"/>
      <c r="K123" s="26"/>
      <c r="L123" s="27"/>
      <c r="M123" s="26"/>
      <c r="N123" s="28"/>
      <c r="O123" s="28"/>
    </row>
    <row r="124" spans="1:15" x14ac:dyDescent="0.25">
      <c r="A124" s="35" t="str">
        <f>TEXT(Tabela2[[#This Row],[DATA]],"MMMM")</f>
        <v>janeiro</v>
      </c>
      <c r="B124" s="25"/>
      <c r="C124" s="39"/>
      <c r="D124" s="26"/>
      <c r="E124" s="26"/>
      <c r="F124" s="26"/>
      <c r="G124" s="20"/>
      <c r="H124" s="26"/>
      <c r="I124" s="20"/>
      <c r="J124" s="26"/>
      <c r="K124" s="26"/>
      <c r="L124" s="27"/>
      <c r="M124" s="26"/>
      <c r="N124" s="28"/>
      <c r="O124" s="28"/>
    </row>
    <row r="125" spans="1:15" x14ac:dyDescent="0.25">
      <c r="A125" s="35" t="str">
        <f>TEXT(Tabela2[[#This Row],[DATA]],"MMMM")</f>
        <v>janeiro</v>
      </c>
      <c r="B125" s="25"/>
      <c r="C125" s="39"/>
      <c r="D125" s="26"/>
      <c r="E125" s="26"/>
      <c r="F125" s="26"/>
      <c r="G125" s="20"/>
      <c r="H125" s="26"/>
      <c r="I125" s="20"/>
      <c r="J125" s="26"/>
      <c r="K125" s="26"/>
      <c r="L125" s="27"/>
      <c r="M125" s="26"/>
      <c r="N125" s="28"/>
      <c r="O125" s="28"/>
    </row>
    <row r="126" spans="1:15" x14ac:dyDescent="0.25">
      <c r="A126" s="35" t="str">
        <f>TEXT(Tabela2[[#This Row],[DATA]],"MMMM")</f>
        <v>janeiro</v>
      </c>
      <c r="B126" s="25"/>
      <c r="C126" s="39"/>
      <c r="D126" s="26"/>
      <c r="E126" s="26"/>
      <c r="F126" s="26"/>
      <c r="G126" s="20"/>
      <c r="H126" s="26"/>
      <c r="I126" s="20"/>
      <c r="J126" s="26"/>
      <c r="K126" s="26"/>
      <c r="L126" s="27"/>
      <c r="M126" s="26"/>
      <c r="N126" s="28"/>
      <c r="O126" s="28"/>
    </row>
    <row r="127" spans="1:15" x14ac:dyDescent="0.25">
      <c r="A127" s="35" t="str">
        <f>TEXT(Tabela2[[#This Row],[DATA]],"MMMM")</f>
        <v>janeiro</v>
      </c>
      <c r="B127" s="25"/>
      <c r="C127" s="39"/>
      <c r="D127" s="26"/>
      <c r="E127" s="26"/>
      <c r="F127" s="26"/>
      <c r="G127" s="20"/>
      <c r="H127" s="26"/>
      <c r="I127" s="20"/>
      <c r="J127" s="26"/>
      <c r="K127" s="26"/>
      <c r="L127" s="27"/>
      <c r="M127" s="26"/>
      <c r="N127" s="28"/>
      <c r="O127" s="28"/>
    </row>
    <row r="128" spans="1:15" x14ac:dyDescent="0.25">
      <c r="A128" s="35" t="str">
        <f>TEXT(Tabela2[[#This Row],[DATA]],"MMMM")</f>
        <v>janeiro</v>
      </c>
      <c r="B128" s="25"/>
      <c r="C128" s="39"/>
      <c r="D128" s="26"/>
      <c r="E128" s="26"/>
      <c r="F128" s="26"/>
      <c r="G128" s="20"/>
      <c r="H128" s="26"/>
      <c r="I128" s="20"/>
      <c r="J128" s="26"/>
      <c r="K128" s="26"/>
      <c r="L128" s="27"/>
      <c r="M128" s="26"/>
      <c r="N128" s="28"/>
      <c r="O128" s="28"/>
    </row>
    <row r="129" spans="1:15" x14ac:dyDescent="0.25">
      <c r="A129" s="35" t="str">
        <f>TEXT(Tabela2[[#This Row],[DATA]],"MMMM")</f>
        <v>janeiro</v>
      </c>
      <c r="B129" s="25"/>
      <c r="C129" s="39"/>
      <c r="D129" s="26"/>
      <c r="E129" s="26"/>
      <c r="F129" s="26"/>
      <c r="G129" s="20"/>
      <c r="H129" s="26"/>
      <c r="I129" s="20"/>
      <c r="J129" s="26"/>
      <c r="K129" s="26"/>
      <c r="L129" s="27"/>
      <c r="M129" s="26"/>
      <c r="N129" s="28"/>
      <c r="O129" s="28"/>
    </row>
    <row r="130" spans="1:15" x14ac:dyDescent="0.25">
      <c r="A130" s="35" t="str">
        <f>TEXT(Tabela2[[#This Row],[DATA]],"MMMM")</f>
        <v>janeiro</v>
      </c>
      <c r="B130" s="25"/>
      <c r="C130" s="39"/>
      <c r="D130" s="26"/>
      <c r="E130" s="26"/>
      <c r="F130" s="26"/>
      <c r="G130" s="20"/>
      <c r="H130" s="26"/>
      <c r="I130" s="20"/>
      <c r="J130" s="26"/>
      <c r="K130" s="26"/>
      <c r="L130" s="27"/>
      <c r="M130" s="26"/>
      <c r="N130" s="28"/>
      <c r="O130" s="28"/>
    </row>
    <row r="131" spans="1:15" x14ac:dyDescent="0.25">
      <c r="A131" s="35" t="str">
        <f>TEXT(Tabela2[[#This Row],[DATA]],"MMMM")</f>
        <v>janeiro</v>
      </c>
      <c r="B131" s="25"/>
      <c r="C131" s="39"/>
      <c r="D131" s="26"/>
      <c r="E131" s="26"/>
      <c r="F131" s="26"/>
      <c r="G131" s="20"/>
      <c r="H131" s="26"/>
      <c r="I131" s="20"/>
      <c r="J131" s="26"/>
      <c r="K131" s="26"/>
      <c r="L131" s="27"/>
      <c r="M131" s="26"/>
      <c r="N131" s="28"/>
      <c r="O131" s="28"/>
    </row>
    <row r="132" spans="1:15" x14ac:dyDescent="0.25">
      <c r="A132" s="35" t="str">
        <f>TEXT(Tabela2[[#This Row],[DATA]],"MMMM")</f>
        <v>janeiro</v>
      </c>
      <c r="B132" s="25"/>
      <c r="C132" s="39"/>
      <c r="D132" s="26"/>
      <c r="E132" s="26"/>
      <c r="F132" s="26"/>
      <c r="G132" s="20"/>
      <c r="H132" s="26"/>
      <c r="I132" s="20"/>
      <c r="J132" s="26"/>
      <c r="K132" s="26"/>
      <c r="L132" s="27"/>
      <c r="M132" s="26"/>
      <c r="N132" s="28"/>
      <c r="O132" s="28"/>
    </row>
    <row r="133" spans="1:15" x14ac:dyDescent="0.25">
      <c r="A133" s="35" t="str">
        <f>TEXT(Tabela2[[#This Row],[DATA]],"MMMM")</f>
        <v>janeiro</v>
      </c>
      <c r="B133" s="25"/>
      <c r="C133" s="39"/>
      <c r="D133" s="26"/>
      <c r="E133" s="26"/>
      <c r="F133" s="26"/>
      <c r="G133" s="20"/>
      <c r="H133" s="26"/>
      <c r="I133" s="20"/>
      <c r="J133" s="26"/>
      <c r="K133" s="26"/>
      <c r="L133" s="27"/>
      <c r="M133" s="26"/>
      <c r="N133" s="28"/>
      <c r="O133" s="28"/>
    </row>
    <row r="134" spans="1:15" x14ac:dyDescent="0.25">
      <c r="A134" s="35" t="str">
        <f>TEXT(Tabela2[[#This Row],[DATA]],"MMMM")</f>
        <v>janeiro</v>
      </c>
      <c r="B134" s="25"/>
      <c r="C134" s="39"/>
      <c r="D134" s="26"/>
      <c r="E134" s="26"/>
      <c r="F134" s="26"/>
      <c r="G134" s="20"/>
      <c r="H134" s="26"/>
      <c r="I134" s="20"/>
      <c r="J134" s="26"/>
      <c r="K134" s="26"/>
      <c r="L134" s="27"/>
      <c r="M134" s="26"/>
      <c r="N134" s="28"/>
      <c r="O134" s="28"/>
    </row>
    <row r="135" spans="1:15" x14ac:dyDescent="0.25">
      <c r="A135" s="35" t="str">
        <f>TEXT(Tabela2[[#This Row],[DATA]],"MMMM")</f>
        <v>janeiro</v>
      </c>
      <c r="B135" s="25"/>
      <c r="C135" s="39"/>
      <c r="D135" s="26"/>
      <c r="E135" s="26"/>
      <c r="F135" s="26"/>
      <c r="G135" s="20"/>
      <c r="H135" s="26"/>
      <c r="I135" s="20"/>
      <c r="J135" s="26"/>
      <c r="K135" s="26"/>
      <c r="L135" s="27"/>
      <c r="M135" s="26"/>
      <c r="N135" s="28"/>
      <c r="O135" s="28"/>
    </row>
    <row r="136" spans="1:15" x14ac:dyDescent="0.25">
      <c r="A136" s="35" t="str">
        <f>TEXT(Tabela2[[#This Row],[DATA]],"MMMM")</f>
        <v>janeiro</v>
      </c>
      <c r="B136" s="25"/>
      <c r="C136" s="39"/>
      <c r="D136" s="26"/>
      <c r="E136" s="26"/>
      <c r="F136" s="26"/>
      <c r="G136" s="20"/>
      <c r="H136" s="26"/>
      <c r="I136" s="20"/>
      <c r="J136" s="26"/>
      <c r="K136" s="26"/>
      <c r="L136" s="27"/>
      <c r="M136" s="26"/>
      <c r="N136" s="28"/>
      <c r="O136" s="28"/>
    </row>
    <row r="137" spans="1:15" x14ac:dyDescent="0.25">
      <c r="A137" s="35" t="str">
        <f>TEXT(Tabela2[[#This Row],[DATA]],"MMMM")</f>
        <v>janeiro</v>
      </c>
      <c r="B137" s="25"/>
      <c r="C137" s="39"/>
      <c r="D137" s="26"/>
      <c r="E137" s="26"/>
      <c r="F137" s="26"/>
      <c r="G137" s="20"/>
      <c r="H137" s="26"/>
      <c r="I137" s="20"/>
      <c r="J137" s="26"/>
      <c r="K137" s="26"/>
      <c r="L137" s="27"/>
      <c r="M137" s="26"/>
      <c r="N137" s="28"/>
      <c r="O137" s="28"/>
    </row>
    <row r="138" spans="1:15" x14ac:dyDescent="0.25">
      <c r="A138" s="35" t="str">
        <f>TEXT(Tabela2[[#This Row],[DATA]],"MMMM")</f>
        <v>janeiro</v>
      </c>
      <c r="B138" s="25"/>
      <c r="C138" s="39"/>
      <c r="D138" s="26"/>
      <c r="E138" s="26"/>
      <c r="F138" s="26"/>
      <c r="G138" s="20"/>
      <c r="H138" s="26"/>
      <c r="I138" s="20"/>
      <c r="J138" s="26"/>
      <c r="K138" s="26"/>
      <c r="L138" s="27"/>
      <c r="M138" s="26"/>
      <c r="N138" s="28"/>
      <c r="O138" s="28"/>
    </row>
    <row r="139" spans="1:15" x14ac:dyDescent="0.25">
      <c r="A139" s="35" t="str">
        <f>TEXT(Tabela2[[#This Row],[DATA]],"MMMM")</f>
        <v>janeiro</v>
      </c>
      <c r="B139" s="25"/>
      <c r="C139" s="39"/>
      <c r="D139" s="26"/>
      <c r="E139" s="26"/>
      <c r="F139" s="26"/>
      <c r="G139" s="20"/>
      <c r="H139" s="26"/>
      <c r="I139" s="20"/>
      <c r="J139" s="26"/>
      <c r="K139" s="26"/>
      <c r="L139" s="27"/>
      <c r="M139" s="26"/>
      <c r="N139" s="28"/>
      <c r="O139" s="28"/>
    </row>
    <row r="140" spans="1:15" x14ac:dyDescent="0.25">
      <c r="A140" s="35" t="str">
        <f>TEXT(Tabela2[[#This Row],[DATA]],"MMMM")</f>
        <v>janeiro</v>
      </c>
      <c r="B140" s="25"/>
      <c r="C140" s="39"/>
      <c r="D140" s="26"/>
      <c r="E140" s="26"/>
      <c r="F140" s="26"/>
      <c r="G140" s="20"/>
      <c r="H140" s="26"/>
      <c r="I140" s="20"/>
      <c r="J140" s="26"/>
      <c r="K140" s="26"/>
      <c r="L140" s="27"/>
      <c r="M140" s="26"/>
      <c r="N140" s="28"/>
      <c r="O140" s="28"/>
    </row>
    <row r="141" spans="1:15" x14ac:dyDescent="0.25">
      <c r="A141" s="35" t="str">
        <f>TEXT(Tabela2[[#This Row],[DATA]],"MMMM")</f>
        <v>janeiro</v>
      </c>
      <c r="B141" s="25"/>
      <c r="C141" s="39"/>
      <c r="D141" s="26"/>
      <c r="E141" s="26"/>
      <c r="F141" s="26"/>
      <c r="G141" s="20"/>
      <c r="H141" s="26"/>
      <c r="I141" s="20"/>
      <c r="J141" s="26"/>
      <c r="K141" s="26"/>
      <c r="L141" s="27"/>
      <c r="M141" s="26"/>
      <c r="N141" s="28"/>
      <c r="O141" s="28"/>
    </row>
    <row r="142" spans="1:15" x14ac:dyDescent="0.25">
      <c r="A142" s="35" t="str">
        <f>TEXT(Tabela2[[#This Row],[DATA]],"MMMM")</f>
        <v>janeiro</v>
      </c>
      <c r="B142" s="25"/>
      <c r="C142" s="39"/>
      <c r="D142" s="26"/>
      <c r="E142" s="26"/>
      <c r="F142" s="26"/>
      <c r="G142" s="20"/>
      <c r="H142" s="26"/>
      <c r="I142" s="20"/>
      <c r="J142" s="26"/>
      <c r="K142" s="26"/>
      <c r="L142" s="27"/>
      <c r="M142" s="26"/>
      <c r="N142" s="28"/>
      <c r="O142" s="28"/>
    </row>
    <row r="143" spans="1:15" x14ac:dyDescent="0.25">
      <c r="A143" s="35" t="str">
        <f>TEXT(Tabela2[[#This Row],[DATA]],"MMMM")</f>
        <v>janeiro</v>
      </c>
      <c r="B143" s="25"/>
      <c r="C143" s="39"/>
      <c r="D143" s="26"/>
      <c r="E143" s="26"/>
      <c r="F143" s="26"/>
      <c r="G143" s="20"/>
      <c r="H143" s="26"/>
      <c r="I143" s="20"/>
      <c r="J143" s="26"/>
      <c r="K143" s="26"/>
      <c r="L143" s="27"/>
      <c r="M143" s="26"/>
      <c r="N143" s="28"/>
      <c r="O143" s="28"/>
    </row>
    <row r="144" spans="1:15" x14ac:dyDescent="0.25">
      <c r="A144" s="35" t="str">
        <f>TEXT(Tabela2[[#This Row],[DATA]],"MMMM")</f>
        <v>janeiro</v>
      </c>
      <c r="B144" s="25"/>
      <c r="C144" s="39"/>
      <c r="D144" s="26"/>
      <c r="E144" s="26"/>
      <c r="F144" s="26"/>
      <c r="G144" s="20"/>
      <c r="H144" s="26"/>
      <c r="I144" s="20"/>
      <c r="J144" s="26"/>
      <c r="K144" s="26"/>
      <c r="L144" s="27"/>
      <c r="M144" s="26"/>
      <c r="N144" s="28"/>
      <c r="O144" s="28"/>
    </row>
    <row r="145" spans="1:15" x14ac:dyDescent="0.25">
      <c r="A145" s="35" t="str">
        <f>TEXT(Tabela2[[#This Row],[DATA]],"MMMM")</f>
        <v>janeiro</v>
      </c>
      <c r="B145" s="25"/>
      <c r="C145" s="39"/>
      <c r="D145" s="26"/>
      <c r="E145" s="26"/>
      <c r="F145" s="26"/>
      <c r="G145" s="20"/>
      <c r="H145" s="26"/>
      <c r="I145" s="20"/>
      <c r="J145" s="26"/>
      <c r="K145" s="26"/>
      <c r="L145" s="27"/>
      <c r="M145" s="26"/>
      <c r="N145" s="28"/>
      <c r="O145" s="28"/>
    </row>
    <row r="146" spans="1:15" x14ac:dyDescent="0.25">
      <c r="A146" s="35" t="str">
        <f>TEXT(Tabela2[[#This Row],[DATA]],"MMMM")</f>
        <v>janeiro</v>
      </c>
      <c r="B146" s="25"/>
      <c r="C146" s="39"/>
      <c r="D146" s="26"/>
      <c r="E146" s="26"/>
      <c r="F146" s="26"/>
      <c r="G146" s="20"/>
      <c r="H146" s="26"/>
      <c r="I146" s="20"/>
      <c r="J146" s="26"/>
      <c r="K146" s="26"/>
      <c r="L146" s="27"/>
      <c r="M146" s="26"/>
      <c r="N146" s="28"/>
      <c r="O146" s="28"/>
    </row>
    <row r="147" spans="1:15" x14ac:dyDescent="0.25">
      <c r="A147" s="35" t="str">
        <f>TEXT(Tabela2[[#This Row],[DATA]],"MMMM")</f>
        <v>janeiro</v>
      </c>
      <c r="B147" s="25"/>
      <c r="C147" s="39"/>
      <c r="D147" s="26"/>
      <c r="E147" s="26"/>
      <c r="F147" s="26"/>
      <c r="G147" s="20"/>
      <c r="H147" s="26"/>
      <c r="I147" s="20"/>
      <c r="J147" s="26"/>
      <c r="K147" s="26"/>
      <c r="L147" s="27"/>
      <c r="M147" s="26"/>
      <c r="N147" s="28"/>
      <c r="O147" s="28"/>
    </row>
    <row r="148" spans="1:15" x14ac:dyDescent="0.25">
      <c r="A148" s="35" t="str">
        <f>TEXT(Tabela2[[#This Row],[DATA]],"MMMM")</f>
        <v>janeiro</v>
      </c>
      <c r="B148" s="25"/>
      <c r="C148" s="39"/>
      <c r="D148" s="26"/>
      <c r="E148" s="26"/>
      <c r="F148" s="26"/>
      <c r="G148" s="20"/>
      <c r="H148" s="26"/>
      <c r="I148" s="20"/>
      <c r="J148" s="26"/>
      <c r="K148" s="26"/>
      <c r="L148" s="27"/>
      <c r="M148" s="26"/>
      <c r="N148" s="28"/>
      <c r="O148" s="28"/>
    </row>
    <row r="149" spans="1:15" x14ac:dyDescent="0.25">
      <c r="A149" s="35" t="str">
        <f>TEXT(Tabela2[[#This Row],[DATA]],"MMMM")</f>
        <v>janeiro</v>
      </c>
      <c r="B149" s="25"/>
      <c r="C149" s="39"/>
      <c r="D149" s="26"/>
      <c r="E149" s="26"/>
      <c r="F149" s="26"/>
      <c r="G149" s="20"/>
      <c r="H149" s="26"/>
      <c r="I149" s="20"/>
      <c r="J149" s="26"/>
      <c r="K149" s="26"/>
      <c r="L149" s="27"/>
      <c r="M149" s="26"/>
      <c r="N149" s="28"/>
      <c r="O149" s="28"/>
    </row>
    <row r="150" spans="1:15" x14ac:dyDescent="0.25">
      <c r="A150" s="35" t="str">
        <f>TEXT(Tabela2[[#This Row],[DATA]],"MMMM")</f>
        <v>janeiro</v>
      </c>
      <c r="B150" s="25"/>
      <c r="C150" s="39"/>
      <c r="D150" s="26"/>
      <c r="E150" s="26"/>
      <c r="F150" s="26"/>
      <c r="G150" s="20"/>
      <c r="H150" s="26"/>
      <c r="I150" s="20"/>
      <c r="J150" s="26"/>
      <c r="K150" s="26"/>
      <c r="L150" s="27"/>
      <c r="M150" s="26"/>
      <c r="N150" s="28"/>
      <c r="O150" s="28"/>
    </row>
    <row r="151" spans="1:15" x14ac:dyDescent="0.25">
      <c r="A151" s="35" t="str">
        <f>TEXT(Tabela2[[#This Row],[DATA]],"MMMM")</f>
        <v>janeiro</v>
      </c>
      <c r="B151" s="25"/>
      <c r="C151" s="39"/>
      <c r="D151" s="26"/>
      <c r="E151" s="26"/>
      <c r="F151" s="26"/>
      <c r="G151" s="20"/>
      <c r="H151" s="26"/>
      <c r="I151" s="20"/>
      <c r="J151" s="26"/>
      <c r="K151" s="26"/>
      <c r="L151" s="27"/>
      <c r="M151" s="26"/>
      <c r="N151" s="28"/>
      <c r="O151" s="28"/>
    </row>
    <row r="152" spans="1:15" x14ac:dyDescent="0.25">
      <c r="A152" s="35" t="str">
        <f>TEXT(Tabela2[[#This Row],[DATA]],"MMMM")</f>
        <v>janeiro</v>
      </c>
      <c r="B152" s="25"/>
      <c r="C152" s="39"/>
      <c r="D152" s="26"/>
      <c r="E152" s="26"/>
      <c r="F152" s="26"/>
      <c r="G152" s="20"/>
      <c r="H152" s="26"/>
      <c r="I152" s="20"/>
      <c r="J152" s="26"/>
      <c r="K152" s="26"/>
      <c r="L152" s="27"/>
      <c r="M152" s="26"/>
      <c r="N152" s="28"/>
      <c r="O152" s="28"/>
    </row>
    <row r="153" spans="1:15" x14ac:dyDescent="0.25">
      <c r="A153" s="35" t="str">
        <f>TEXT(Tabela2[[#This Row],[DATA]],"MMMM")</f>
        <v>janeiro</v>
      </c>
      <c r="B153" s="25"/>
      <c r="C153" s="39"/>
      <c r="D153" s="26"/>
      <c r="E153" s="26"/>
      <c r="F153" s="26"/>
      <c r="G153" s="20"/>
      <c r="H153" s="26"/>
      <c r="I153" s="20"/>
      <c r="J153" s="26"/>
      <c r="K153" s="26"/>
      <c r="L153" s="27"/>
      <c r="M153" s="26"/>
      <c r="N153" s="28"/>
      <c r="O153" s="28"/>
    </row>
    <row r="154" spans="1:15" x14ac:dyDescent="0.25">
      <c r="A154" s="35" t="str">
        <f>TEXT(Tabela2[[#This Row],[DATA]],"MMMM")</f>
        <v>janeiro</v>
      </c>
      <c r="B154" s="25"/>
      <c r="C154" s="39"/>
      <c r="D154" s="26"/>
      <c r="E154" s="26"/>
      <c r="F154" s="26"/>
      <c r="G154" s="20"/>
      <c r="H154" s="26"/>
      <c r="I154" s="20"/>
      <c r="J154" s="26"/>
      <c r="K154" s="26"/>
      <c r="L154" s="27"/>
      <c r="M154" s="26"/>
      <c r="N154" s="28"/>
      <c r="O154" s="28"/>
    </row>
    <row r="155" spans="1:15" x14ac:dyDescent="0.25">
      <c r="A155" s="35" t="str">
        <f>TEXT(Tabela2[[#This Row],[DATA]],"MMMM")</f>
        <v>janeiro</v>
      </c>
      <c r="B155" s="25"/>
      <c r="C155" s="39"/>
      <c r="D155" s="26"/>
      <c r="E155" s="26"/>
      <c r="F155" s="26"/>
      <c r="G155" s="20"/>
      <c r="H155" s="26"/>
      <c r="I155" s="20"/>
      <c r="J155" s="26"/>
      <c r="K155" s="26"/>
      <c r="L155" s="27"/>
      <c r="M155" s="26"/>
      <c r="N155" s="28"/>
      <c r="O155" s="28"/>
    </row>
    <row r="156" spans="1:15" x14ac:dyDescent="0.25">
      <c r="A156" s="35" t="str">
        <f>TEXT(Tabela2[[#This Row],[DATA]],"MMMM")</f>
        <v>janeiro</v>
      </c>
      <c r="B156" s="25"/>
      <c r="C156" s="39"/>
      <c r="D156" s="26"/>
      <c r="E156" s="26"/>
      <c r="F156" s="26"/>
      <c r="G156" s="20"/>
      <c r="H156" s="26"/>
      <c r="I156" s="20"/>
      <c r="J156" s="26"/>
      <c r="K156" s="26"/>
      <c r="L156" s="27"/>
      <c r="M156" s="26"/>
      <c r="N156" s="28"/>
      <c r="O156" s="28"/>
    </row>
    <row r="157" spans="1:15" x14ac:dyDescent="0.25">
      <c r="A157" s="35" t="str">
        <f>TEXT(Tabela2[[#This Row],[DATA]],"MMMM")</f>
        <v>janeiro</v>
      </c>
      <c r="B157" s="25"/>
      <c r="C157" s="39"/>
      <c r="D157" s="26"/>
      <c r="E157" s="26"/>
      <c r="F157" s="26"/>
      <c r="G157" s="20"/>
      <c r="H157" s="26"/>
      <c r="I157" s="20"/>
      <c r="J157" s="26"/>
      <c r="K157" s="26"/>
      <c r="L157" s="27"/>
      <c r="M157" s="26"/>
      <c r="N157" s="28"/>
      <c r="O157" s="28"/>
    </row>
    <row r="158" spans="1:15" x14ac:dyDescent="0.25">
      <c r="A158" s="35" t="str">
        <f>TEXT(Tabela2[[#This Row],[DATA]],"MMMM")</f>
        <v>janeiro</v>
      </c>
      <c r="B158" s="25"/>
      <c r="C158" s="39"/>
      <c r="D158" s="26"/>
      <c r="E158" s="26"/>
      <c r="F158" s="26"/>
      <c r="G158" s="20"/>
      <c r="H158" s="26"/>
      <c r="I158" s="20"/>
      <c r="J158" s="26"/>
      <c r="K158" s="26"/>
      <c r="L158" s="27"/>
      <c r="M158" s="26"/>
      <c r="N158" s="28"/>
      <c r="O158" s="28"/>
    </row>
    <row r="159" spans="1:15" x14ac:dyDescent="0.25">
      <c r="A159" s="35" t="str">
        <f>TEXT(Tabela2[[#This Row],[DATA]],"MMMM")</f>
        <v>janeiro</v>
      </c>
      <c r="B159" s="25"/>
      <c r="C159" s="39"/>
      <c r="D159" s="26"/>
      <c r="E159" s="26"/>
      <c r="F159" s="26"/>
      <c r="G159" s="20"/>
      <c r="H159" s="26"/>
      <c r="I159" s="20"/>
      <c r="J159" s="26"/>
      <c r="K159" s="26"/>
      <c r="L159" s="27"/>
      <c r="M159" s="26"/>
      <c r="N159" s="28"/>
      <c r="O159" s="28"/>
    </row>
    <row r="160" spans="1:15" x14ac:dyDescent="0.25">
      <c r="A160" s="35" t="str">
        <f>TEXT(Tabela2[[#This Row],[DATA]],"MMMM")</f>
        <v>janeiro</v>
      </c>
      <c r="B160" s="25"/>
      <c r="C160" s="39"/>
      <c r="D160" s="26"/>
      <c r="E160" s="26"/>
      <c r="F160" s="26"/>
      <c r="G160" s="20"/>
      <c r="H160" s="26"/>
      <c r="I160" s="20"/>
      <c r="J160" s="26"/>
      <c r="K160" s="26"/>
      <c r="L160" s="27"/>
      <c r="M160" s="26"/>
      <c r="N160" s="28"/>
      <c r="O160" s="28"/>
    </row>
    <row r="161" spans="1:15" x14ac:dyDescent="0.25">
      <c r="A161" s="35" t="str">
        <f>TEXT(Tabela2[[#This Row],[DATA]],"MMMM")</f>
        <v>janeiro</v>
      </c>
      <c r="B161" s="25"/>
      <c r="C161" s="39"/>
      <c r="D161" s="26"/>
      <c r="E161" s="26"/>
      <c r="F161" s="26"/>
      <c r="G161" s="20"/>
      <c r="H161" s="26"/>
      <c r="I161" s="20"/>
      <c r="J161" s="26"/>
      <c r="K161" s="26"/>
      <c r="L161" s="27"/>
      <c r="M161" s="26"/>
      <c r="N161" s="28"/>
      <c r="O161" s="28"/>
    </row>
    <row r="162" spans="1:15" x14ac:dyDescent="0.25">
      <c r="A162" s="35" t="str">
        <f>TEXT(Tabela2[[#This Row],[DATA]],"MMMM")</f>
        <v>janeiro</v>
      </c>
      <c r="B162" s="25"/>
      <c r="C162" s="39"/>
      <c r="D162" s="26"/>
      <c r="E162" s="26"/>
      <c r="F162" s="26"/>
      <c r="G162" s="20"/>
      <c r="H162" s="26"/>
      <c r="I162" s="20"/>
      <c r="J162" s="26"/>
      <c r="K162" s="26"/>
      <c r="L162" s="27"/>
      <c r="M162" s="26"/>
      <c r="N162" s="28"/>
      <c r="O162" s="28"/>
    </row>
    <row r="163" spans="1:15" x14ac:dyDescent="0.25">
      <c r="A163" s="35" t="str">
        <f>TEXT(Tabela2[[#This Row],[DATA]],"MMMM")</f>
        <v>janeiro</v>
      </c>
      <c r="B163" s="25"/>
      <c r="C163" s="39"/>
      <c r="D163" s="26"/>
      <c r="E163" s="26"/>
      <c r="F163" s="26"/>
      <c r="G163" s="20"/>
      <c r="H163" s="26"/>
      <c r="I163" s="20"/>
      <c r="J163" s="26"/>
      <c r="K163" s="26"/>
      <c r="L163" s="27"/>
      <c r="M163" s="26"/>
      <c r="N163" s="28"/>
      <c r="O163" s="28"/>
    </row>
    <row r="164" spans="1:15" x14ac:dyDescent="0.25">
      <c r="A164" s="35" t="str">
        <f>TEXT(Tabela2[[#This Row],[DATA]],"MMMM")</f>
        <v>janeiro</v>
      </c>
      <c r="B164" s="25"/>
      <c r="C164" s="39"/>
      <c r="D164" s="26"/>
      <c r="E164" s="26"/>
      <c r="F164" s="26"/>
      <c r="G164" s="20"/>
      <c r="H164" s="26"/>
      <c r="I164" s="20"/>
      <c r="J164" s="26"/>
      <c r="K164" s="26"/>
      <c r="L164" s="27"/>
      <c r="M164" s="26"/>
      <c r="N164" s="28"/>
      <c r="O164" s="28"/>
    </row>
    <row r="165" spans="1:15" x14ac:dyDescent="0.25">
      <c r="A165" s="35" t="str">
        <f>TEXT(Tabela2[[#This Row],[DATA]],"MMMM")</f>
        <v>janeiro</v>
      </c>
      <c r="B165" s="25"/>
      <c r="C165" s="39"/>
      <c r="D165" s="26"/>
      <c r="E165" s="26"/>
      <c r="F165" s="26"/>
      <c r="G165" s="20"/>
      <c r="H165" s="26"/>
      <c r="I165" s="20"/>
      <c r="J165" s="26"/>
      <c r="K165" s="26"/>
      <c r="L165" s="27"/>
      <c r="M165" s="26"/>
      <c r="N165" s="28"/>
      <c r="O165" s="28"/>
    </row>
    <row r="166" spans="1:15" x14ac:dyDescent="0.25">
      <c r="A166" s="35" t="str">
        <f>TEXT(Tabela2[[#This Row],[DATA]],"MMMM")</f>
        <v>janeiro</v>
      </c>
      <c r="B166" s="25"/>
      <c r="C166" s="39"/>
      <c r="D166" s="26"/>
      <c r="E166" s="26"/>
      <c r="F166" s="26"/>
      <c r="G166" s="20"/>
      <c r="H166" s="26"/>
      <c r="I166" s="20"/>
      <c r="J166" s="26"/>
      <c r="K166" s="26"/>
      <c r="L166" s="27"/>
      <c r="M166" s="26"/>
      <c r="N166" s="28"/>
      <c r="O166" s="28"/>
    </row>
    <row r="167" spans="1:15" x14ac:dyDescent="0.25">
      <c r="A167" s="35" t="str">
        <f>TEXT(Tabela2[[#This Row],[DATA]],"MMMM")</f>
        <v>janeiro</v>
      </c>
      <c r="B167" s="25"/>
      <c r="C167" s="39"/>
      <c r="D167" s="26"/>
      <c r="E167" s="26"/>
      <c r="F167" s="26"/>
      <c r="G167" s="20"/>
      <c r="H167" s="26"/>
      <c r="I167" s="20"/>
      <c r="J167" s="26"/>
      <c r="K167" s="26"/>
      <c r="L167" s="27"/>
      <c r="M167" s="26"/>
      <c r="N167" s="28"/>
      <c r="O167" s="28"/>
    </row>
    <row r="168" spans="1:15" x14ac:dyDescent="0.25">
      <c r="A168" s="35" t="str">
        <f>TEXT(Tabela2[[#This Row],[DATA]],"MMMM")</f>
        <v>janeiro</v>
      </c>
      <c r="B168" s="25"/>
      <c r="C168" s="39"/>
      <c r="D168" s="26"/>
      <c r="E168" s="26"/>
      <c r="F168" s="26"/>
      <c r="G168" s="20"/>
      <c r="H168" s="26"/>
      <c r="I168" s="20"/>
      <c r="J168" s="26"/>
      <c r="K168" s="26"/>
      <c r="L168" s="27"/>
      <c r="M168" s="26"/>
      <c r="N168" s="28"/>
      <c r="O168" s="28"/>
    </row>
    <row r="169" spans="1:15" x14ac:dyDescent="0.25">
      <c r="A169" s="35" t="str">
        <f>TEXT(Tabela2[[#This Row],[DATA]],"MMMM")</f>
        <v>janeiro</v>
      </c>
      <c r="B169" s="25"/>
      <c r="C169" s="39"/>
      <c r="D169" s="26"/>
      <c r="E169" s="26"/>
      <c r="F169" s="26"/>
      <c r="G169" s="20"/>
      <c r="H169" s="26"/>
      <c r="I169" s="20"/>
      <c r="J169" s="26"/>
      <c r="K169" s="26"/>
      <c r="L169" s="27"/>
      <c r="M169" s="26"/>
      <c r="N169" s="28"/>
      <c r="O169" s="28"/>
    </row>
    <row r="170" spans="1:15" x14ac:dyDescent="0.25">
      <c r="A170" s="35" t="str">
        <f>TEXT(Tabela2[[#This Row],[DATA]],"MMMM")</f>
        <v>janeiro</v>
      </c>
      <c r="B170" s="25"/>
      <c r="C170" s="39"/>
      <c r="D170" s="26"/>
      <c r="E170" s="26"/>
      <c r="F170" s="26"/>
      <c r="G170" s="20"/>
      <c r="H170" s="26"/>
      <c r="I170" s="20"/>
      <c r="J170" s="26"/>
      <c r="K170" s="26"/>
      <c r="L170" s="27"/>
      <c r="M170" s="26"/>
      <c r="N170" s="28"/>
      <c r="O170" s="28"/>
    </row>
    <row r="171" spans="1:15" x14ac:dyDescent="0.25">
      <c r="A171" s="35" t="str">
        <f>TEXT(Tabela2[[#This Row],[DATA]],"MMMM")</f>
        <v>janeiro</v>
      </c>
      <c r="B171" s="25"/>
      <c r="C171" s="39"/>
      <c r="D171" s="26"/>
      <c r="E171" s="26"/>
      <c r="F171" s="26"/>
      <c r="G171" s="20"/>
      <c r="H171" s="26"/>
      <c r="I171" s="20"/>
      <c r="J171" s="26"/>
      <c r="K171" s="26"/>
      <c r="L171" s="27"/>
      <c r="M171" s="26"/>
      <c r="N171" s="28"/>
      <c r="O171" s="28"/>
    </row>
    <row r="172" spans="1:15" x14ac:dyDescent="0.25">
      <c r="A172" s="35" t="str">
        <f>TEXT(Tabela2[[#This Row],[DATA]],"MMMM")</f>
        <v>janeiro</v>
      </c>
      <c r="B172" s="25"/>
      <c r="C172" s="39"/>
      <c r="D172" s="26"/>
      <c r="E172" s="26"/>
      <c r="F172" s="26"/>
      <c r="G172" s="20"/>
      <c r="H172" s="26"/>
      <c r="I172" s="20"/>
      <c r="J172" s="26"/>
      <c r="K172" s="26"/>
      <c r="L172" s="27"/>
      <c r="M172" s="26"/>
      <c r="N172" s="28"/>
      <c r="O172" s="28"/>
    </row>
    <row r="173" spans="1:15" x14ac:dyDescent="0.25">
      <c r="A173" s="35" t="str">
        <f>TEXT(Tabela2[[#This Row],[DATA]],"MMMM")</f>
        <v>janeiro</v>
      </c>
      <c r="B173" s="25"/>
      <c r="C173" s="39"/>
      <c r="D173" s="26"/>
      <c r="E173" s="26"/>
      <c r="F173" s="26"/>
      <c r="G173" s="20"/>
      <c r="H173" s="26"/>
      <c r="I173" s="20"/>
      <c r="J173" s="26"/>
      <c r="K173" s="26"/>
      <c r="L173" s="27"/>
      <c r="M173" s="26"/>
      <c r="N173" s="28"/>
      <c r="O173" s="28"/>
    </row>
    <row r="174" spans="1:15" x14ac:dyDescent="0.25">
      <c r="A174" s="35" t="str">
        <f>TEXT(Tabela2[[#This Row],[DATA]],"MMMM")</f>
        <v>janeiro</v>
      </c>
      <c r="B174" s="25"/>
      <c r="C174" s="39"/>
      <c r="D174" s="26"/>
      <c r="E174" s="26"/>
      <c r="F174" s="26"/>
      <c r="G174" s="20"/>
      <c r="H174" s="26"/>
      <c r="I174" s="20"/>
      <c r="J174" s="26"/>
      <c r="K174" s="26"/>
      <c r="L174" s="27"/>
      <c r="M174" s="26"/>
      <c r="N174" s="28"/>
      <c r="O174" s="28"/>
    </row>
    <row r="175" spans="1:15" x14ac:dyDescent="0.25">
      <c r="A175" s="35" t="str">
        <f>TEXT(Tabela2[[#This Row],[DATA]],"MMMM")</f>
        <v>janeiro</v>
      </c>
      <c r="B175" s="25"/>
      <c r="C175" s="39"/>
      <c r="D175" s="26"/>
      <c r="E175" s="26"/>
      <c r="F175" s="26"/>
      <c r="G175" s="20"/>
      <c r="H175" s="26"/>
      <c r="I175" s="20"/>
      <c r="J175" s="26"/>
      <c r="K175" s="26"/>
      <c r="L175" s="27"/>
      <c r="M175" s="26"/>
      <c r="N175" s="28"/>
      <c r="O175" s="28"/>
    </row>
    <row r="176" spans="1:15" x14ac:dyDescent="0.25">
      <c r="A176" s="35" t="str">
        <f>TEXT(Tabela2[[#This Row],[DATA]],"MMMM")</f>
        <v>janeiro</v>
      </c>
      <c r="B176" s="25"/>
      <c r="C176" s="39"/>
      <c r="D176" s="26"/>
      <c r="E176" s="26"/>
      <c r="F176" s="26"/>
      <c r="G176" s="20"/>
      <c r="H176" s="26"/>
      <c r="I176" s="20"/>
      <c r="J176" s="26"/>
      <c r="K176" s="26"/>
      <c r="L176" s="27"/>
      <c r="M176" s="26"/>
      <c r="N176" s="28"/>
      <c r="O176" s="28"/>
    </row>
    <row r="177" spans="1:15" x14ac:dyDescent="0.25">
      <c r="A177" s="35" t="str">
        <f>TEXT(Tabela2[[#This Row],[DATA]],"MMMM")</f>
        <v>janeiro</v>
      </c>
      <c r="B177" s="25"/>
      <c r="C177" s="39"/>
      <c r="D177" s="26"/>
      <c r="E177" s="26"/>
      <c r="F177" s="26"/>
      <c r="G177" s="20"/>
      <c r="H177" s="26"/>
      <c r="I177" s="20"/>
      <c r="J177" s="26"/>
      <c r="K177" s="26"/>
      <c r="L177" s="27"/>
      <c r="M177" s="26"/>
      <c r="N177" s="28"/>
      <c r="O177" s="28"/>
    </row>
    <row r="178" spans="1:15" x14ac:dyDescent="0.25">
      <c r="A178" s="35" t="str">
        <f>TEXT(Tabela2[[#This Row],[DATA]],"MMMM")</f>
        <v>janeiro</v>
      </c>
      <c r="B178" s="25"/>
      <c r="C178" s="39"/>
      <c r="D178" s="26"/>
      <c r="E178" s="26"/>
      <c r="F178" s="26"/>
      <c r="G178" s="20"/>
      <c r="H178" s="26"/>
      <c r="I178" s="20"/>
      <c r="J178" s="26"/>
      <c r="K178" s="26"/>
      <c r="L178" s="27"/>
      <c r="M178" s="26"/>
      <c r="N178" s="28"/>
      <c r="O178" s="28"/>
    </row>
    <row r="179" spans="1:15" x14ac:dyDescent="0.25">
      <c r="A179" s="35" t="str">
        <f>TEXT(Tabela2[[#This Row],[DATA]],"MMMM")</f>
        <v>janeiro</v>
      </c>
      <c r="B179" s="25"/>
      <c r="C179" s="39"/>
      <c r="D179" s="26"/>
      <c r="E179" s="26"/>
      <c r="F179" s="26"/>
      <c r="G179" s="20"/>
      <c r="H179" s="26"/>
      <c r="I179" s="20"/>
      <c r="J179" s="26"/>
      <c r="K179" s="26"/>
      <c r="L179" s="27"/>
      <c r="M179" s="26"/>
      <c r="N179" s="28"/>
      <c r="O179" s="28"/>
    </row>
    <row r="180" spans="1:15" x14ac:dyDescent="0.25">
      <c r="A180" s="35" t="str">
        <f>TEXT(Tabela2[[#This Row],[DATA]],"MMMM")</f>
        <v>janeiro</v>
      </c>
      <c r="B180" s="25"/>
      <c r="C180" s="39"/>
      <c r="D180" s="26"/>
      <c r="E180" s="26"/>
      <c r="F180" s="26"/>
      <c r="G180" s="20"/>
      <c r="H180" s="26"/>
      <c r="I180" s="20"/>
      <c r="J180" s="26"/>
      <c r="K180" s="26"/>
      <c r="L180" s="27"/>
      <c r="M180" s="26"/>
      <c r="N180" s="28"/>
      <c r="O180" s="28"/>
    </row>
    <row r="181" spans="1:15" x14ac:dyDescent="0.25">
      <c r="A181" s="35" t="str">
        <f>TEXT(Tabela2[[#This Row],[DATA]],"MMMM")</f>
        <v>janeiro</v>
      </c>
      <c r="B181" s="25"/>
      <c r="C181" s="39"/>
      <c r="D181" s="26"/>
      <c r="E181" s="26"/>
      <c r="F181" s="26"/>
      <c r="G181" s="20"/>
      <c r="H181" s="26"/>
      <c r="I181" s="20"/>
      <c r="J181" s="26"/>
      <c r="K181" s="26"/>
      <c r="L181" s="27"/>
      <c r="M181" s="26"/>
      <c r="N181" s="28"/>
      <c r="O181" s="28"/>
    </row>
    <row r="182" spans="1:15" x14ac:dyDescent="0.25">
      <c r="A182" s="35" t="str">
        <f>TEXT(Tabela2[[#This Row],[DATA]],"MMMM")</f>
        <v>janeiro</v>
      </c>
      <c r="B182" s="25"/>
      <c r="C182" s="39"/>
      <c r="D182" s="26"/>
      <c r="E182" s="26"/>
      <c r="F182" s="26"/>
      <c r="G182" s="20"/>
      <c r="H182" s="26"/>
      <c r="I182" s="20"/>
      <c r="J182" s="26"/>
      <c r="K182" s="26"/>
      <c r="L182" s="27"/>
      <c r="M182" s="26"/>
      <c r="N182" s="28"/>
      <c r="O182" s="28"/>
    </row>
    <row r="183" spans="1:15" x14ac:dyDescent="0.25">
      <c r="A183" s="35" t="str">
        <f>TEXT(Tabela2[[#This Row],[DATA]],"MMMM")</f>
        <v>janeiro</v>
      </c>
      <c r="B183" s="25"/>
      <c r="C183" s="39"/>
      <c r="D183" s="26"/>
      <c r="E183" s="26"/>
      <c r="F183" s="26"/>
      <c r="G183" s="20"/>
      <c r="H183" s="26"/>
      <c r="I183" s="20"/>
      <c r="J183" s="26"/>
      <c r="K183" s="26"/>
      <c r="L183" s="27"/>
      <c r="M183" s="26"/>
      <c r="N183" s="28"/>
      <c r="O183" s="28"/>
    </row>
    <row r="184" spans="1:15" x14ac:dyDescent="0.25">
      <c r="A184" s="35" t="str">
        <f>TEXT(Tabela2[[#This Row],[DATA]],"MMMM")</f>
        <v>janeiro</v>
      </c>
      <c r="B184" s="25"/>
      <c r="C184" s="39"/>
      <c r="D184" s="26"/>
      <c r="E184" s="26"/>
      <c r="F184" s="26"/>
      <c r="G184" s="20"/>
      <c r="H184" s="26"/>
      <c r="I184" s="20"/>
      <c r="J184" s="26"/>
      <c r="K184" s="26"/>
      <c r="L184" s="27"/>
      <c r="M184" s="26"/>
      <c r="N184" s="28"/>
      <c r="O184" s="28"/>
    </row>
    <row r="185" spans="1:15" x14ac:dyDescent="0.25">
      <c r="A185" s="35" t="str">
        <f>TEXT(Tabela2[[#This Row],[DATA]],"MMMM")</f>
        <v>janeiro</v>
      </c>
      <c r="B185" s="25"/>
      <c r="C185" s="39"/>
      <c r="D185" s="26"/>
      <c r="E185" s="26"/>
      <c r="F185" s="26"/>
      <c r="G185" s="20"/>
      <c r="H185" s="26"/>
      <c r="I185" s="20"/>
      <c r="J185" s="26"/>
      <c r="K185" s="26"/>
      <c r="L185" s="27"/>
      <c r="M185" s="26"/>
      <c r="N185" s="28"/>
      <c r="O185" s="28"/>
    </row>
    <row r="186" spans="1:15" x14ac:dyDescent="0.25">
      <c r="A186" s="35" t="str">
        <f>TEXT(Tabela2[[#This Row],[DATA]],"MMMM")</f>
        <v>janeiro</v>
      </c>
      <c r="B186" s="25"/>
      <c r="C186" s="39"/>
      <c r="D186" s="26"/>
      <c r="E186" s="26"/>
      <c r="F186" s="26"/>
      <c r="G186" s="20"/>
      <c r="H186" s="26"/>
      <c r="I186" s="20"/>
      <c r="J186" s="26"/>
      <c r="K186" s="26"/>
      <c r="L186" s="27"/>
      <c r="M186" s="26"/>
      <c r="N186" s="28"/>
      <c r="O186" s="28"/>
    </row>
    <row r="187" spans="1:15" x14ac:dyDescent="0.25">
      <c r="A187" s="35" t="str">
        <f>TEXT(Tabela2[[#This Row],[DATA]],"MMMM")</f>
        <v>janeiro</v>
      </c>
      <c r="B187" s="25"/>
      <c r="C187" s="39"/>
      <c r="D187" s="26"/>
      <c r="E187" s="26"/>
      <c r="F187" s="26"/>
      <c r="G187" s="20"/>
      <c r="H187" s="26"/>
      <c r="I187" s="20"/>
      <c r="J187" s="26"/>
      <c r="K187" s="26"/>
      <c r="L187" s="27"/>
      <c r="M187" s="26"/>
      <c r="N187" s="28"/>
      <c r="O187" s="28"/>
    </row>
    <row r="188" spans="1:15" x14ac:dyDescent="0.25">
      <c r="A188" s="35" t="str">
        <f>TEXT(Tabela2[[#This Row],[DATA]],"MMMM")</f>
        <v>janeiro</v>
      </c>
      <c r="B188" s="25"/>
      <c r="C188" s="39"/>
      <c r="D188" s="26"/>
      <c r="E188" s="26"/>
      <c r="F188" s="26"/>
      <c r="G188" s="20"/>
      <c r="H188" s="26"/>
      <c r="I188" s="20"/>
      <c r="J188" s="26"/>
      <c r="K188" s="26"/>
      <c r="L188" s="27"/>
      <c r="M188" s="26"/>
      <c r="N188" s="28"/>
      <c r="O188" s="28"/>
    </row>
    <row r="189" spans="1:15" x14ac:dyDescent="0.25">
      <c r="A189" s="35" t="str">
        <f>TEXT(Tabela2[[#This Row],[DATA]],"MMMM")</f>
        <v>janeiro</v>
      </c>
      <c r="B189" s="25"/>
      <c r="C189" s="39"/>
      <c r="D189" s="26"/>
      <c r="E189" s="26"/>
      <c r="F189" s="26"/>
      <c r="G189" s="20"/>
      <c r="H189" s="26"/>
      <c r="I189" s="20"/>
      <c r="J189" s="26"/>
      <c r="K189" s="26"/>
      <c r="L189" s="27"/>
      <c r="M189" s="26"/>
      <c r="N189" s="28"/>
      <c r="O189" s="28"/>
    </row>
    <row r="190" spans="1:15" x14ac:dyDescent="0.25">
      <c r="A190" s="35" t="str">
        <f>TEXT(Tabela2[[#This Row],[DATA]],"MMMM")</f>
        <v>janeiro</v>
      </c>
      <c r="B190" s="25"/>
      <c r="C190" s="39"/>
      <c r="D190" s="26"/>
      <c r="E190" s="26"/>
      <c r="F190" s="26"/>
      <c r="G190" s="20"/>
      <c r="H190" s="26"/>
      <c r="I190" s="20"/>
      <c r="J190" s="26"/>
      <c r="K190" s="26"/>
      <c r="L190" s="27"/>
      <c r="M190" s="26"/>
      <c r="N190" s="28"/>
      <c r="O190" s="28"/>
    </row>
    <row r="191" spans="1:15" x14ac:dyDescent="0.25">
      <c r="A191" s="35" t="str">
        <f>TEXT(Tabela2[[#This Row],[DATA]],"MMMM")</f>
        <v>janeiro</v>
      </c>
      <c r="B191" s="25"/>
      <c r="C191" s="39"/>
      <c r="D191" s="26"/>
      <c r="E191" s="26"/>
      <c r="F191" s="26"/>
      <c r="G191" s="20"/>
      <c r="H191" s="26"/>
      <c r="I191" s="20"/>
      <c r="J191" s="26"/>
      <c r="K191" s="26"/>
      <c r="L191" s="27"/>
      <c r="M191" s="26"/>
      <c r="N191" s="28"/>
      <c r="O191" s="28"/>
    </row>
    <row r="192" spans="1:15" x14ac:dyDescent="0.25">
      <c r="A192" s="35" t="str">
        <f>TEXT(Tabela2[[#This Row],[DATA]],"MMMM")</f>
        <v>janeiro</v>
      </c>
      <c r="B192" s="25"/>
      <c r="C192" s="39"/>
      <c r="D192" s="26"/>
      <c r="E192" s="26"/>
      <c r="F192" s="26"/>
      <c r="G192" s="20"/>
      <c r="H192" s="26"/>
      <c r="I192" s="20"/>
      <c r="J192" s="26"/>
      <c r="K192" s="26"/>
      <c r="L192" s="27"/>
      <c r="M192" s="26"/>
      <c r="N192" s="28"/>
      <c r="O192" s="28"/>
    </row>
    <row r="193" spans="1:15" x14ac:dyDescent="0.25">
      <c r="A193" s="35" t="str">
        <f>TEXT(Tabela2[[#This Row],[DATA]],"MMMM")</f>
        <v>janeiro</v>
      </c>
      <c r="B193" s="25"/>
      <c r="C193" s="39"/>
      <c r="D193" s="26"/>
      <c r="E193" s="26"/>
      <c r="F193" s="26"/>
      <c r="G193" s="20"/>
      <c r="H193" s="26"/>
      <c r="I193" s="20"/>
      <c r="J193" s="26"/>
      <c r="K193" s="26"/>
      <c r="L193" s="27"/>
      <c r="M193" s="26"/>
      <c r="N193" s="28"/>
      <c r="O193" s="28"/>
    </row>
    <row r="194" spans="1:15" x14ac:dyDescent="0.25">
      <c r="A194" s="35" t="str">
        <f>TEXT(Tabela2[[#This Row],[DATA]],"MMMM")</f>
        <v>janeiro</v>
      </c>
      <c r="B194" s="25"/>
      <c r="C194" s="39"/>
      <c r="D194" s="26"/>
      <c r="E194" s="26"/>
      <c r="F194" s="26"/>
      <c r="G194" s="20"/>
      <c r="H194" s="26"/>
      <c r="I194" s="20"/>
      <c r="J194" s="26"/>
      <c r="K194" s="26"/>
      <c r="L194" s="27"/>
      <c r="M194" s="26"/>
      <c r="N194" s="28"/>
      <c r="O194" s="28"/>
    </row>
    <row r="195" spans="1:15" x14ac:dyDescent="0.25">
      <c r="A195" s="35" t="str">
        <f>TEXT(Tabela2[[#This Row],[DATA]],"MMMM")</f>
        <v>janeiro</v>
      </c>
      <c r="B195" s="25"/>
      <c r="C195" s="39"/>
      <c r="D195" s="26"/>
      <c r="E195" s="26"/>
      <c r="F195" s="26"/>
      <c r="G195" s="20"/>
      <c r="H195" s="26"/>
      <c r="I195" s="20"/>
      <c r="J195" s="26"/>
      <c r="K195" s="26"/>
      <c r="L195" s="27"/>
      <c r="M195" s="26"/>
      <c r="N195" s="28"/>
      <c r="O195" s="28"/>
    </row>
    <row r="196" spans="1:15" x14ac:dyDescent="0.25">
      <c r="A196" s="35" t="str">
        <f>TEXT(Tabela2[[#This Row],[DATA]],"MMMM")</f>
        <v>janeiro</v>
      </c>
      <c r="B196" s="25"/>
      <c r="C196" s="39"/>
      <c r="D196" s="26"/>
      <c r="E196" s="26"/>
      <c r="F196" s="26"/>
      <c r="G196" s="20"/>
      <c r="H196" s="26"/>
      <c r="I196" s="20"/>
      <c r="J196" s="26"/>
      <c r="K196" s="26"/>
      <c r="L196" s="27"/>
      <c r="M196" s="26"/>
      <c r="N196" s="28"/>
      <c r="O196" s="28"/>
    </row>
    <row r="197" spans="1:15" x14ac:dyDescent="0.25">
      <c r="A197" s="35" t="str">
        <f>TEXT(Tabela2[[#This Row],[DATA]],"MMMM")</f>
        <v>janeiro</v>
      </c>
      <c r="B197" s="25"/>
      <c r="C197" s="39"/>
      <c r="D197" s="26"/>
      <c r="E197" s="26"/>
      <c r="F197" s="26"/>
      <c r="G197" s="20"/>
      <c r="H197" s="26"/>
      <c r="I197" s="20"/>
      <c r="J197" s="26"/>
      <c r="K197" s="26"/>
      <c r="L197" s="27"/>
      <c r="M197" s="26"/>
      <c r="N197" s="28"/>
      <c r="O197" s="28"/>
    </row>
    <row r="198" spans="1:15" x14ac:dyDescent="0.25">
      <c r="A198" s="35" t="str">
        <f>TEXT(Tabela2[[#This Row],[DATA]],"MMMM")</f>
        <v>janeiro</v>
      </c>
      <c r="B198" s="25"/>
      <c r="C198" s="39"/>
      <c r="D198" s="26"/>
      <c r="E198" s="26"/>
      <c r="F198" s="26"/>
      <c r="G198" s="20"/>
      <c r="H198" s="26"/>
      <c r="I198" s="20"/>
      <c r="J198" s="26"/>
      <c r="K198" s="26"/>
      <c r="L198" s="27"/>
      <c r="M198" s="26"/>
      <c r="N198" s="28"/>
      <c r="O198" s="28"/>
    </row>
    <row r="199" spans="1:15" x14ac:dyDescent="0.25">
      <c r="A199" s="35" t="str">
        <f>TEXT(Tabela2[[#This Row],[DATA]],"MMMM")</f>
        <v>janeiro</v>
      </c>
      <c r="B199" s="25"/>
      <c r="C199" s="39"/>
      <c r="D199" s="26"/>
      <c r="E199" s="26"/>
      <c r="F199" s="26"/>
      <c r="G199" s="20"/>
      <c r="H199" s="26"/>
      <c r="I199" s="20"/>
      <c r="J199" s="26"/>
      <c r="K199" s="26"/>
      <c r="L199" s="27"/>
      <c r="M199" s="26"/>
      <c r="N199" s="28"/>
      <c r="O199" s="28"/>
    </row>
    <row r="200" spans="1:15" x14ac:dyDescent="0.25">
      <c r="A200" s="35" t="str">
        <f>TEXT(Tabela2[[#This Row],[DATA]],"MMMM")</f>
        <v>janeiro</v>
      </c>
      <c r="B200" s="25"/>
      <c r="C200" s="39"/>
      <c r="D200" s="26"/>
      <c r="E200" s="26"/>
      <c r="F200" s="26"/>
      <c r="G200" s="20"/>
      <c r="H200" s="26"/>
      <c r="I200" s="20"/>
      <c r="J200" s="26"/>
      <c r="K200" s="26"/>
      <c r="L200" s="27"/>
      <c r="M200" s="26"/>
      <c r="N200" s="28"/>
      <c r="O200" s="28"/>
    </row>
    <row r="201" spans="1:15" x14ac:dyDescent="0.25">
      <c r="A201" s="35" t="str">
        <f>TEXT(Tabela2[[#This Row],[DATA]],"MMMM")</f>
        <v>janeiro</v>
      </c>
      <c r="B201" s="25"/>
      <c r="C201" s="39"/>
      <c r="D201" s="26"/>
      <c r="E201" s="26"/>
      <c r="F201" s="26"/>
      <c r="G201" s="20"/>
      <c r="H201" s="26"/>
      <c r="I201" s="20"/>
      <c r="J201" s="26"/>
      <c r="K201" s="26"/>
      <c r="L201" s="27"/>
      <c r="M201" s="26"/>
      <c r="N201" s="28"/>
      <c r="O201" s="28"/>
    </row>
    <row r="202" spans="1:15" x14ac:dyDescent="0.25">
      <c r="A202" s="35" t="str">
        <f>TEXT(Tabela2[[#This Row],[DATA]],"MMMM")</f>
        <v>janeiro</v>
      </c>
      <c r="B202" s="25"/>
      <c r="C202" s="39"/>
      <c r="D202" s="26"/>
      <c r="E202" s="26"/>
      <c r="F202" s="26"/>
      <c r="G202" s="20"/>
      <c r="H202" s="26"/>
      <c r="I202" s="20"/>
      <c r="J202" s="26"/>
      <c r="K202" s="26"/>
      <c r="L202" s="27"/>
      <c r="M202" s="26"/>
      <c r="N202" s="28"/>
      <c r="O202" s="28"/>
    </row>
    <row r="203" spans="1:15" x14ac:dyDescent="0.25">
      <c r="A203" s="35" t="str">
        <f>TEXT(Tabela2[[#This Row],[DATA]],"MMMM")</f>
        <v>janeiro</v>
      </c>
      <c r="B203" s="25"/>
      <c r="C203" s="39"/>
      <c r="D203" s="26"/>
      <c r="E203" s="26"/>
      <c r="F203" s="26"/>
      <c r="G203" s="20"/>
      <c r="H203" s="26"/>
      <c r="I203" s="20"/>
      <c r="J203" s="26"/>
      <c r="K203" s="26"/>
      <c r="L203" s="27"/>
      <c r="M203" s="26"/>
      <c r="N203" s="28"/>
      <c r="O203" s="28"/>
    </row>
    <row r="204" spans="1:15" x14ac:dyDescent="0.25">
      <c r="A204" s="35" t="str">
        <f>TEXT(Tabela2[[#This Row],[DATA]],"MMMM")</f>
        <v>janeiro</v>
      </c>
      <c r="B204" s="25"/>
      <c r="C204" s="39"/>
      <c r="D204" s="26"/>
      <c r="E204" s="26"/>
      <c r="F204" s="26"/>
      <c r="G204" s="20"/>
      <c r="H204" s="26"/>
      <c r="I204" s="20"/>
      <c r="J204" s="26"/>
      <c r="K204" s="26"/>
      <c r="L204" s="27"/>
      <c r="M204" s="26"/>
      <c r="N204" s="28"/>
      <c r="O204" s="28"/>
    </row>
    <row r="205" spans="1:15" x14ac:dyDescent="0.25">
      <c r="A205" s="35" t="str">
        <f>TEXT(Tabela2[[#This Row],[DATA]],"MMMM")</f>
        <v>janeiro</v>
      </c>
      <c r="B205" s="25"/>
      <c r="C205" s="39"/>
      <c r="D205" s="26"/>
      <c r="E205" s="26"/>
      <c r="F205" s="26"/>
      <c r="G205" s="20"/>
      <c r="H205" s="26"/>
      <c r="I205" s="20"/>
      <c r="J205" s="26"/>
      <c r="K205" s="26"/>
      <c r="L205" s="27"/>
      <c r="M205" s="26"/>
      <c r="N205" s="28"/>
      <c r="O205" s="28"/>
    </row>
    <row r="206" spans="1:15" x14ac:dyDescent="0.25">
      <c r="A206" s="35" t="str">
        <f>TEXT(Tabela2[[#This Row],[DATA]],"MMMM")</f>
        <v>janeiro</v>
      </c>
      <c r="B206" s="25"/>
      <c r="C206" s="39"/>
      <c r="D206" s="26"/>
      <c r="E206" s="26"/>
      <c r="F206" s="26"/>
      <c r="G206" s="20"/>
      <c r="H206" s="26"/>
      <c r="I206" s="20"/>
      <c r="J206" s="26"/>
      <c r="K206" s="26"/>
      <c r="L206" s="27"/>
      <c r="M206" s="26"/>
      <c r="N206" s="28"/>
      <c r="O206" s="28"/>
    </row>
    <row r="207" spans="1:15" x14ac:dyDescent="0.25">
      <c r="A207" s="35" t="str">
        <f>TEXT(Tabela2[[#This Row],[DATA]],"MMMM")</f>
        <v>janeiro</v>
      </c>
      <c r="B207" s="25"/>
      <c r="C207" s="39"/>
      <c r="D207" s="26"/>
      <c r="E207" s="26"/>
      <c r="F207" s="26"/>
      <c r="G207" s="20"/>
      <c r="H207" s="26"/>
      <c r="I207" s="20"/>
      <c r="J207" s="26"/>
      <c r="K207" s="26"/>
      <c r="L207" s="27"/>
      <c r="M207" s="26"/>
      <c r="N207" s="28"/>
      <c r="O207" s="28"/>
    </row>
    <row r="208" spans="1:15" x14ac:dyDescent="0.25">
      <c r="A208" s="35" t="str">
        <f>TEXT(Tabela2[[#This Row],[DATA]],"MMMM")</f>
        <v>janeiro</v>
      </c>
      <c r="B208" s="25"/>
      <c r="C208" s="39"/>
      <c r="D208" s="26"/>
      <c r="E208" s="26"/>
      <c r="F208" s="26"/>
      <c r="G208" s="20"/>
      <c r="H208" s="26"/>
      <c r="I208" s="20"/>
      <c r="J208" s="26"/>
      <c r="K208" s="26"/>
      <c r="L208" s="27"/>
      <c r="M208" s="26"/>
      <c r="N208" s="28"/>
      <c r="O208" s="28"/>
    </row>
    <row r="209" spans="1:15" x14ac:dyDescent="0.25">
      <c r="A209" s="35" t="str">
        <f>TEXT(Tabela2[[#This Row],[DATA]],"MMMM")</f>
        <v>janeiro</v>
      </c>
      <c r="B209" s="25"/>
      <c r="C209" s="39"/>
      <c r="D209" s="26"/>
      <c r="E209" s="26"/>
      <c r="F209" s="26"/>
      <c r="G209" s="20"/>
      <c r="H209" s="26"/>
      <c r="I209" s="20"/>
      <c r="J209" s="26"/>
      <c r="K209" s="26"/>
      <c r="L209" s="27"/>
      <c r="M209" s="26"/>
      <c r="N209" s="28"/>
      <c r="O209" s="28"/>
    </row>
    <row r="210" spans="1:15" x14ac:dyDescent="0.25">
      <c r="A210" s="35" t="str">
        <f>TEXT(Tabela2[[#This Row],[DATA]],"MMMM")</f>
        <v>janeiro</v>
      </c>
      <c r="B210" s="25"/>
      <c r="C210" s="39"/>
      <c r="D210" s="26"/>
      <c r="E210" s="26"/>
      <c r="F210" s="26"/>
      <c r="G210" s="20"/>
      <c r="H210" s="26"/>
      <c r="I210" s="20"/>
      <c r="J210" s="26"/>
      <c r="K210" s="26"/>
      <c r="L210" s="27"/>
      <c r="M210" s="26"/>
      <c r="N210" s="28"/>
      <c r="O210" s="28"/>
    </row>
    <row r="211" spans="1:15" x14ac:dyDescent="0.25">
      <c r="A211" s="35" t="str">
        <f>TEXT(Tabela2[[#This Row],[DATA]],"MMMM")</f>
        <v>janeiro</v>
      </c>
      <c r="B211" s="25"/>
      <c r="C211" s="39"/>
      <c r="D211" s="26"/>
      <c r="E211" s="26"/>
      <c r="F211" s="26"/>
      <c r="G211" s="20"/>
      <c r="H211" s="26"/>
      <c r="I211" s="20"/>
      <c r="J211" s="26"/>
      <c r="K211" s="26"/>
      <c r="L211" s="27"/>
      <c r="M211" s="26"/>
      <c r="N211" s="28"/>
      <c r="O211" s="28"/>
    </row>
    <row r="212" spans="1:15" x14ac:dyDescent="0.25">
      <c r="A212" s="35" t="str">
        <f>TEXT(Tabela2[[#This Row],[DATA]],"MMMM")</f>
        <v>janeiro</v>
      </c>
      <c r="B212" s="25"/>
      <c r="C212" s="39"/>
      <c r="D212" s="26"/>
      <c r="E212" s="26"/>
      <c r="F212" s="26"/>
      <c r="G212" s="20"/>
      <c r="H212" s="26"/>
      <c r="I212" s="20"/>
      <c r="J212" s="26"/>
      <c r="K212" s="26"/>
      <c r="L212" s="27"/>
      <c r="M212" s="26"/>
      <c r="N212" s="28"/>
      <c r="O212" s="28"/>
    </row>
    <row r="213" spans="1:15" x14ac:dyDescent="0.25">
      <c r="A213" s="35" t="str">
        <f>TEXT(Tabela2[[#This Row],[DATA]],"MMMM")</f>
        <v>janeiro</v>
      </c>
      <c r="B213" s="25"/>
      <c r="C213" s="39"/>
      <c r="D213" s="26"/>
      <c r="E213" s="26"/>
      <c r="F213" s="26"/>
      <c r="G213" s="20"/>
      <c r="H213" s="26"/>
      <c r="I213" s="20"/>
      <c r="J213" s="26"/>
      <c r="K213" s="26"/>
      <c r="L213" s="27"/>
      <c r="M213" s="26"/>
      <c r="N213" s="28"/>
      <c r="O213" s="28"/>
    </row>
    <row r="214" spans="1:15" x14ac:dyDescent="0.25">
      <c r="A214" s="35" t="str">
        <f>TEXT(Tabela2[[#This Row],[DATA]],"MMMM")</f>
        <v>janeiro</v>
      </c>
      <c r="B214" s="25"/>
      <c r="C214" s="39"/>
      <c r="D214" s="26"/>
      <c r="E214" s="26"/>
      <c r="F214" s="26"/>
      <c r="G214" s="20"/>
      <c r="H214" s="26"/>
      <c r="I214" s="20"/>
      <c r="J214" s="26"/>
      <c r="K214" s="26"/>
      <c r="L214" s="27"/>
      <c r="M214" s="26"/>
      <c r="N214" s="28"/>
      <c r="O214" s="28"/>
    </row>
    <row r="215" spans="1:15" x14ac:dyDescent="0.25">
      <c r="A215" s="35" t="str">
        <f>TEXT(Tabela2[[#This Row],[DATA]],"MMMM")</f>
        <v>janeiro</v>
      </c>
      <c r="B215" s="25"/>
      <c r="C215" s="39"/>
      <c r="D215" s="26"/>
      <c r="E215" s="26"/>
      <c r="F215" s="26"/>
      <c r="G215" s="20"/>
      <c r="H215" s="26"/>
      <c r="I215" s="20"/>
      <c r="J215" s="26"/>
      <c r="K215" s="26"/>
      <c r="L215" s="27"/>
      <c r="M215" s="26"/>
      <c r="N215" s="28"/>
      <c r="O215" s="28"/>
    </row>
    <row r="216" spans="1:15" x14ac:dyDescent="0.25">
      <c r="A216" s="35" t="str">
        <f>TEXT(Tabela2[[#This Row],[DATA]],"MMMM")</f>
        <v>janeiro</v>
      </c>
      <c r="B216" s="25"/>
      <c r="C216" s="39"/>
      <c r="D216" s="26"/>
      <c r="E216" s="26"/>
      <c r="F216" s="26"/>
      <c r="G216" s="20"/>
      <c r="H216" s="26"/>
      <c r="I216" s="20"/>
      <c r="J216" s="26"/>
      <c r="K216" s="26"/>
      <c r="L216" s="27"/>
      <c r="M216" s="26"/>
      <c r="N216" s="28"/>
      <c r="O216" s="28"/>
    </row>
    <row r="217" spans="1:15" x14ac:dyDescent="0.25">
      <c r="A217" s="35" t="str">
        <f>TEXT(Tabela2[[#This Row],[DATA]],"MMMM")</f>
        <v>janeiro</v>
      </c>
      <c r="B217" s="25"/>
      <c r="C217" s="39"/>
      <c r="D217" s="26"/>
      <c r="E217" s="26"/>
      <c r="F217" s="26"/>
      <c r="G217" s="20"/>
      <c r="H217" s="26"/>
      <c r="I217" s="20"/>
      <c r="J217" s="26"/>
      <c r="K217" s="26"/>
      <c r="L217" s="27"/>
      <c r="M217" s="26"/>
      <c r="N217" s="28"/>
      <c r="O217" s="28"/>
    </row>
    <row r="218" spans="1:15" x14ac:dyDescent="0.25">
      <c r="A218" s="35" t="str">
        <f>TEXT(Tabela2[[#This Row],[DATA]],"MMMM")</f>
        <v>janeiro</v>
      </c>
      <c r="B218" s="25"/>
      <c r="C218" s="39"/>
      <c r="D218" s="26"/>
      <c r="E218" s="26"/>
      <c r="F218" s="26"/>
      <c r="G218" s="20"/>
      <c r="H218" s="26"/>
      <c r="I218" s="20"/>
      <c r="J218" s="26"/>
      <c r="K218" s="26"/>
      <c r="L218" s="27"/>
      <c r="M218" s="26"/>
      <c r="N218" s="28"/>
      <c r="O218" s="28"/>
    </row>
    <row r="219" spans="1:15" x14ac:dyDescent="0.25">
      <c r="A219" s="35" t="str">
        <f>TEXT(Tabela2[[#This Row],[DATA]],"MMMM")</f>
        <v>janeiro</v>
      </c>
      <c r="B219" s="25"/>
      <c r="C219" s="39"/>
      <c r="D219" s="26"/>
      <c r="E219" s="26"/>
      <c r="F219" s="26"/>
      <c r="G219" s="20"/>
      <c r="H219" s="26"/>
      <c r="I219" s="20"/>
      <c r="J219" s="26"/>
      <c r="K219" s="26"/>
      <c r="L219" s="27"/>
      <c r="M219" s="26"/>
      <c r="N219" s="28"/>
      <c r="O219" s="28"/>
    </row>
    <row r="220" spans="1:15" x14ac:dyDescent="0.25">
      <c r="A220" s="35" t="str">
        <f>TEXT(Tabela2[[#This Row],[DATA]],"MMMM")</f>
        <v>janeiro</v>
      </c>
      <c r="B220" s="25"/>
      <c r="C220" s="39"/>
      <c r="D220" s="26"/>
      <c r="E220" s="26"/>
      <c r="F220" s="26"/>
      <c r="G220" s="20"/>
      <c r="H220" s="26"/>
      <c r="I220" s="20"/>
      <c r="J220" s="26"/>
      <c r="K220" s="26"/>
      <c r="L220" s="27"/>
      <c r="M220" s="26"/>
      <c r="N220" s="28"/>
      <c r="O220" s="28"/>
    </row>
    <row r="221" spans="1:15" x14ac:dyDescent="0.25">
      <c r="A221" s="35" t="str">
        <f>TEXT(Tabela2[[#This Row],[DATA]],"MMMM")</f>
        <v>janeiro</v>
      </c>
      <c r="B221" s="25"/>
      <c r="C221" s="39"/>
      <c r="D221" s="26"/>
      <c r="E221" s="26"/>
      <c r="F221" s="26"/>
      <c r="G221" s="20"/>
      <c r="H221" s="26"/>
      <c r="I221" s="20"/>
      <c r="J221" s="26"/>
      <c r="K221" s="26"/>
      <c r="L221" s="27"/>
      <c r="M221" s="26"/>
      <c r="N221" s="28"/>
      <c r="O221" s="28"/>
    </row>
    <row r="222" spans="1:15" x14ac:dyDescent="0.25">
      <c r="A222" s="35" t="str">
        <f>TEXT(Tabela2[[#This Row],[DATA]],"MMMM")</f>
        <v>janeiro</v>
      </c>
      <c r="B222" s="25"/>
      <c r="C222" s="39"/>
      <c r="D222" s="26"/>
      <c r="E222" s="26"/>
      <c r="F222" s="26"/>
      <c r="G222" s="20"/>
      <c r="H222" s="26"/>
      <c r="I222" s="20"/>
      <c r="J222" s="26"/>
      <c r="K222" s="26"/>
      <c r="L222" s="27"/>
      <c r="M222" s="26"/>
      <c r="N222" s="28"/>
      <c r="O222" s="28"/>
    </row>
    <row r="223" spans="1:15" x14ac:dyDescent="0.25">
      <c r="A223" s="35" t="str">
        <f>TEXT(Tabela2[[#This Row],[DATA]],"MMMM")</f>
        <v>janeiro</v>
      </c>
      <c r="B223" s="25"/>
      <c r="C223" s="39"/>
      <c r="D223" s="26"/>
      <c r="E223" s="26"/>
      <c r="F223" s="26"/>
      <c r="G223" s="20"/>
      <c r="H223" s="26"/>
      <c r="I223" s="20"/>
      <c r="J223" s="26"/>
      <c r="K223" s="26"/>
      <c r="L223" s="27"/>
      <c r="M223" s="26"/>
      <c r="N223" s="28"/>
      <c r="O223" s="28"/>
    </row>
    <row r="224" spans="1:15" x14ac:dyDescent="0.25">
      <c r="A224" s="35" t="str">
        <f>TEXT(Tabela2[[#This Row],[DATA]],"MMMM")</f>
        <v>janeiro</v>
      </c>
      <c r="B224" s="25"/>
      <c r="C224" s="39"/>
      <c r="D224" s="26"/>
      <c r="E224" s="26"/>
      <c r="F224" s="26"/>
      <c r="G224" s="20"/>
      <c r="H224" s="26"/>
      <c r="I224" s="20"/>
      <c r="J224" s="26"/>
      <c r="K224" s="26"/>
      <c r="L224" s="27"/>
      <c r="M224" s="26"/>
      <c r="N224" s="28"/>
      <c r="O224" s="28"/>
    </row>
    <row r="225" spans="1:15" x14ac:dyDescent="0.25">
      <c r="A225" s="35" t="str">
        <f>TEXT(Tabela2[[#This Row],[DATA]],"MMMM")</f>
        <v>janeiro</v>
      </c>
      <c r="B225" s="25"/>
      <c r="C225" s="39"/>
      <c r="D225" s="26"/>
      <c r="E225" s="26"/>
      <c r="F225" s="26"/>
      <c r="G225" s="20"/>
      <c r="H225" s="26"/>
      <c r="I225" s="20"/>
      <c r="J225" s="26"/>
      <c r="K225" s="26"/>
      <c r="L225" s="27"/>
      <c r="M225" s="26"/>
      <c r="N225" s="28"/>
      <c r="O225" s="28"/>
    </row>
    <row r="226" spans="1:15" x14ac:dyDescent="0.25">
      <c r="A226" s="35" t="str">
        <f>TEXT(Tabela2[[#This Row],[DATA]],"MMMM")</f>
        <v>janeiro</v>
      </c>
      <c r="B226" s="25"/>
      <c r="C226" s="39"/>
      <c r="D226" s="26"/>
      <c r="E226" s="26"/>
      <c r="F226" s="26"/>
      <c r="G226" s="20"/>
      <c r="H226" s="26"/>
      <c r="I226" s="20"/>
      <c r="J226" s="26"/>
      <c r="K226" s="26"/>
      <c r="L226" s="27"/>
      <c r="M226" s="26"/>
      <c r="N226" s="28"/>
      <c r="O226" s="28"/>
    </row>
    <row r="227" spans="1:15" x14ac:dyDescent="0.25">
      <c r="A227" s="35" t="str">
        <f>TEXT(Tabela2[[#This Row],[DATA]],"MMMM")</f>
        <v>janeiro</v>
      </c>
      <c r="B227" s="25"/>
      <c r="C227" s="39"/>
      <c r="D227" s="26"/>
      <c r="E227" s="26"/>
      <c r="F227" s="26"/>
      <c r="G227" s="20"/>
      <c r="H227" s="26"/>
      <c r="I227" s="20"/>
      <c r="J227" s="26"/>
      <c r="K227" s="26"/>
      <c r="L227" s="27"/>
      <c r="M227" s="26"/>
      <c r="N227" s="28"/>
      <c r="O227" s="28"/>
    </row>
    <row r="228" spans="1:15" x14ac:dyDescent="0.25">
      <c r="A228" s="35" t="str">
        <f>TEXT(Tabela2[[#This Row],[DATA]],"MMMM")</f>
        <v>janeiro</v>
      </c>
      <c r="B228" s="25"/>
      <c r="C228" s="39"/>
      <c r="D228" s="26"/>
      <c r="E228" s="26"/>
      <c r="F228" s="26"/>
      <c r="G228" s="20"/>
      <c r="H228" s="26"/>
      <c r="I228" s="20"/>
      <c r="J228" s="26"/>
      <c r="K228" s="26"/>
      <c r="L228" s="27"/>
      <c r="M228" s="26"/>
      <c r="N228" s="28"/>
      <c r="O228" s="28"/>
    </row>
    <row r="229" spans="1:15" x14ac:dyDescent="0.25">
      <c r="A229" s="35" t="str">
        <f>TEXT(Tabela2[[#This Row],[DATA]],"MMMM")</f>
        <v>janeiro</v>
      </c>
      <c r="B229" s="25"/>
      <c r="C229" s="39"/>
      <c r="D229" s="26"/>
      <c r="E229" s="26"/>
      <c r="F229" s="26"/>
      <c r="G229" s="20"/>
      <c r="H229" s="26"/>
      <c r="I229" s="20"/>
      <c r="J229" s="26"/>
      <c r="K229" s="26"/>
      <c r="L229" s="27"/>
      <c r="M229" s="26"/>
      <c r="N229" s="28"/>
      <c r="O229" s="28"/>
    </row>
    <row r="230" spans="1:15" x14ac:dyDescent="0.25">
      <c r="A230" s="35" t="str">
        <f>TEXT(Tabela2[[#This Row],[DATA]],"MMMM")</f>
        <v>janeiro</v>
      </c>
      <c r="B230" s="25"/>
      <c r="C230" s="39"/>
      <c r="D230" s="26"/>
      <c r="E230" s="26"/>
      <c r="F230" s="26"/>
      <c r="G230" s="20"/>
      <c r="H230" s="26"/>
      <c r="I230" s="20"/>
      <c r="J230" s="26"/>
      <c r="K230" s="26"/>
      <c r="L230" s="27"/>
      <c r="M230" s="26"/>
      <c r="N230" s="28"/>
      <c r="O230" s="28"/>
    </row>
    <row r="231" spans="1:15" x14ac:dyDescent="0.25">
      <c r="A231" s="35" t="str">
        <f>TEXT(Tabela2[[#This Row],[DATA]],"MMMM")</f>
        <v>janeiro</v>
      </c>
      <c r="B231" s="25"/>
      <c r="C231" s="39"/>
      <c r="D231" s="26"/>
      <c r="E231" s="26"/>
      <c r="F231" s="26"/>
      <c r="G231" s="20"/>
      <c r="H231" s="26"/>
      <c r="I231" s="20"/>
      <c r="J231" s="26"/>
      <c r="K231" s="26"/>
      <c r="L231" s="27"/>
      <c r="M231" s="26"/>
      <c r="N231" s="28"/>
      <c r="O231" s="28"/>
    </row>
    <row r="232" spans="1:15" x14ac:dyDescent="0.25">
      <c r="A232" s="35" t="str">
        <f>TEXT(Tabela2[[#This Row],[DATA]],"MMMM")</f>
        <v>janeiro</v>
      </c>
      <c r="B232" s="25"/>
      <c r="C232" s="39"/>
      <c r="D232" s="26"/>
      <c r="E232" s="26"/>
      <c r="F232" s="26"/>
      <c r="G232" s="20"/>
      <c r="H232" s="26"/>
      <c r="I232" s="20"/>
      <c r="J232" s="26"/>
      <c r="K232" s="26"/>
      <c r="L232" s="27"/>
      <c r="M232" s="26"/>
      <c r="N232" s="28"/>
      <c r="O232" s="28"/>
    </row>
    <row r="233" spans="1:15" x14ac:dyDescent="0.25">
      <c r="A233" s="35" t="str">
        <f>TEXT(Tabela2[[#This Row],[DATA]],"MMMM")</f>
        <v>janeiro</v>
      </c>
      <c r="B233" s="25"/>
      <c r="C233" s="39"/>
      <c r="D233" s="26"/>
      <c r="E233" s="26"/>
      <c r="F233" s="26"/>
      <c r="G233" s="20"/>
      <c r="H233" s="26"/>
      <c r="I233" s="20"/>
      <c r="J233" s="26"/>
      <c r="K233" s="26"/>
      <c r="L233" s="27"/>
      <c r="M233" s="26"/>
      <c r="N233" s="28"/>
      <c r="O233" s="28"/>
    </row>
    <row r="234" spans="1:15" x14ac:dyDescent="0.25">
      <c r="A234" s="35" t="str">
        <f>TEXT(Tabela2[[#This Row],[DATA]],"MMMM")</f>
        <v>janeiro</v>
      </c>
      <c r="B234" s="25"/>
      <c r="C234" s="39"/>
      <c r="D234" s="26"/>
      <c r="E234" s="26"/>
      <c r="F234" s="26"/>
      <c r="G234" s="20"/>
      <c r="H234" s="26"/>
      <c r="I234" s="20"/>
      <c r="J234" s="26"/>
      <c r="K234" s="26"/>
      <c r="L234" s="27"/>
      <c r="M234" s="26"/>
      <c r="N234" s="28"/>
      <c r="O234" s="28"/>
    </row>
    <row r="235" spans="1:15" x14ac:dyDescent="0.25">
      <c r="A235" s="35" t="str">
        <f>TEXT(Tabela2[[#This Row],[DATA]],"MMMM")</f>
        <v>janeiro</v>
      </c>
      <c r="B235" s="25"/>
      <c r="C235" s="39"/>
      <c r="D235" s="26"/>
      <c r="E235" s="26"/>
      <c r="F235" s="26"/>
      <c r="G235" s="20"/>
      <c r="H235" s="26"/>
      <c r="I235" s="20"/>
      <c r="J235" s="26"/>
      <c r="K235" s="26"/>
      <c r="L235" s="27"/>
      <c r="M235" s="26"/>
      <c r="N235" s="28"/>
      <c r="O235" s="28"/>
    </row>
    <row r="236" spans="1:15" x14ac:dyDescent="0.25">
      <c r="A236" s="35" t="str">
        <f>TEXT(Tabela2[[#This Row],[DATA]],"MMMM")</f>
        <v>janeiro</v>
      </c>
      <c r="B236" s="25"/>
      <c r="C236" s="39"/>
      <c r="D236" s="26"/>
      <c r="E236" s="26"/>
      <c r="F236" s="26"/>
      <c r="G236" s="20"/>
      <c r="H236" s="26"/>
      <c r="I236" s="20"/>
      <c r="J236" s="26"/>
      <c r="K236" s="26"/>
      <c r="L236" s="27"/>
      <c r="M236" s="26"/>
      <c r="N236" s="28"/>
      <c r="O236" s="28"/>
    </row>
    <row r="237" spans="1:15" x14ac:dyDescent="0.25">
      <c r="A237" s="35" t="str">
        <f>TEXT(Tabela2[[#This Row],[DATA]],"MMMM")</f>
        <v>janeiro</v>
      </c>
      <c r="B237" s="25"/>
      <c r="C237" s="39"/>
      <c r="D237" s="26"/>
      <c r="E237" s="26"/>
      <c r="F237" s="26"/>
      <c r="G237" s="20"/>
      <c r="H237" s="26"/>
      <c r="I237" s="20"/>
      <c r="J237" s="26"/>
      <c r="K237" s="26"/>
      <c r="L237" s="27"/>
      <c r="M237" s="26"/>
      <c r="N237" s="28"/>
      <c r="O237" s="28"/>
    </row>
    <row r="238" spans="1:15" x14ac:dyDescent="0.25">
      <c r="A238" s="35" t="str">
        <f>TEXT(Tabela2[[#This Row],[DATA]],"MMMM")</f>
        <v>janeiro</v>
      </c>
      <c r="B238" s="25"/>
      <c r="C238" s="39"/>
      <c r="D238" s="26"/>
      <c r="E238" s="26"/>
      <c r="F238" s="26"/>
      <c r="G238" s="20"/>
      <c r="H238" s="26"/>
      <c r="I238" s="20"/>
      <c r="J238" s="26"/>
      <c r="K238" s="26"/>
      <c r="L238" s="27"/>
      <c r="M238" s="26"/>
      <c r="N238" s="28"/>
      <c r="O238" s="28"/>
    </row>
    <row r="239" spans="1:15" x14ac:dyDescent="0.25">
      <c r="A239" s="35" t="str">
        <f>TEXT(Tabela2[[#This Row],[DATA]],"MMMM")</f>
        <v>janeiro</v>
      </c>
      <c r="B239" s="25"/>
      <c r="C239" s="39"/>
      <c r="D239" s="26"/>
      <c r="E239" s="26"/>
      <c r="F239" s="26"/>
      <c r="G239" s="20"/>
      <c r="H239" s="26"/>
      <c r="I239" s="20"/>
      <c r="J239" s="26"/>
      <c r="K239" s="26"/>
      <c r="L239" s="27"/>
      <c r="M239" s="26"/>
      <c r="N239" s="28"/>
      <c r="O239" s="28"/>
    </row>
    <row r="240" spans="1:15" x14ac:dyDescent="0.25">
      <c r="A240" s="35" t="str">
        <f>TEXT(Tabela2[[#This Row],[DATA]],"MMMM")</f>
        <v>janeiro</v>
      </c>
      <c r="B240" s="25"/>
      <c r="C240" s="39"/>
      <c r="D240" s="26"/>
      <c r="E240" s="26"/>
      <c r="F240" s="26"/>
      <c r="G240" s="20"/>
      <c r="H240" s="26"/>
      <c r="I240" s="20"/>
      <c r="J240" s="26"/>
      <c r="K240" s="26"/>
      <c r="L240" s="27"/>
      <c r="M240" s="26"/>
      <c r="N240" s="28"/>
      <c r="O240" s="28"/>
    </row>
    <row r="241" spans="1:15" x14ac:dyDescent="0.25">
      <c r="A241" s="35" t="str">
        <f>TEXT(Tabela2[[#This Row],[DATA]],"MMMM")</f>
        <v>janeiro</v>
      </c>
      <c r="B241" s="25"/>
      <c r="C241" s="39"/>
      <c r="D241" s="26"/>
      <c r="E241" s="26"/>
      <c r="F241" s="26"/>
      <c r="G241" s="20"/>
      <c r="H241" s="26"/>
      <c r="I241" s="20"/>
      <c r="J241" s="26"/>
      <c r="K241" s="26"/>
      <c r="L241" s="27"/>
      <c r="M241" s="26"/>
      <c r="N241" s="28"/>
      <c r="O241" s="28"/>
    </row>
    <row r="242" spans="1:15" x14ac:dyDescent="0.25">
      <c r="A242" s="35" t="str">
        <f>TEXT(Tabela2[[#This Row],[DATA]],"MMMM")</f>
        <v>janeiro</v>
      </c>
      <c r="B242" s="25"/>
      <c r="C242" s="39"/>
      <c r="D242" s="26"/>
      <c r="E242" s="26"/>
      <c r="F242" s="26"/>
      <c r="G242" s="20"/>
      <c r="H242" s="26"/>
      <c r="I242" s="20"/>
      <c r="J242" s="26"/>
      <c r="K242" s="26"/>
      <c r="L242" s="27"/>
      <c r="M242" s="26"/>
      <c r="N242" s="28"/>
      <c r="O242" s="28"/>
    </row>
    <row r="243" spans="1:15" x14ac:dyDescent="0.25">
      <c r="A243" s="35" t="str">
        <f>TEXT(Tabela2[[#This Row],[DATA]],"MMMM")</f>
        <v>janeiro</v>
      </c>
      <c r="B243" s="25"/>
      <c r="C243" s="39"/>
      <c r="D243" s="26"/>
      <c r="E243" s="26"/>
      <c r="F243" s="26"/>
      <c r="G243" s="20"/>
      <c r="H243" s="26"/>
      <c r="I243" s="20"/>
      <c r="J243" s="26"/>
      <c r="K243" s="26"/>
      <c r="L243" s="27"/>
      <c r="M243" s="26"/>
      <c r="N243" s="28"/>
      <c r="O243" s="28"/>
    </row>
    <row r="244" spans="1:15" x14ac:dyDescent="0.25">
      <c r="A244" s="35" t="str">
        <f>TEXT(Tabela2[[#This Row],[DATA]],"MMMM")</f>
        <v>janeiro</v>
      </c>
      <c r="B244" s="25"/>
      <c r="C244" s="39"/>
      <c r="D244" s="26"/>
      <c r="E244" s="26"/>
      <c r="F244" s="26"/>
      <c r="G244" s="20"/>
      <c r="H244" s="26"/>
      <c r="I244" s="20"/>
      <c r="J244" s="26"/>
      <c r="K244" s="26"/>
      <c r="L244" s="27"/>
      <c r="M244" s="26"/>
      <c r="N244" s="28"/>
      <c r="O244" s="28"/>
    </row>
    <row r="245" spans="1:15" x14ac:dyDescent="0.25">
      <c r="A245" s="35" t="str">
        <f>TEXT(Tabela2[[#This Row],[DATA]],"MMMM")</f>
        <v>janeiro</v>
      </c>
      <c r="B245" s="25"/>
      <c r="C245" s="39"/>
      <c r="D245" s="26"/>
      <c r="E245" s="26"/>
      <c r="F245" s="26"/>
      <c r="G245" s="20"/>
      <c r="H245" s="26"/>
      <c r="I245" s="20"/>
      <c r="J245" s="26"/>
      <c r="K245" s="26"/>
      <c r="L245" s="27"/>
      <c r="M245" s="26"/>
      <c r="N245" s="28"/>
      <c r="O245" s="28"/>
    </row>
    <row r="246" spans="1:15" x14ac:dyDescent="0.25">
      <c r="A246" s="35" t="str">
        <f>TEXT(Tabela2[[#This Row],[DATA]],"MMMM")</f>
        <v>janeiro</v>
      </c>
      <c r="B246" s="25"/>
      <c r="C246" s="39"/>
      <c r="D246" s="26"/>
      <c r="E246" s="26"/>
      <c r="F246" s="26"/>
      <c r="G246" s="20"/>
      <c r="H246" s="26"/>
      <c r="I246" s="20"/>
      <c r="J246" s="26"/>
      <c r="K246" s="26"/>
      <c r="L246" s="27"/>
      <c r="M246" s="26"/>
      <c r="N246" s="28"/>
      <c r="O246" s="28"/>
    </row>
    <row r="247" spans="1:15" x14ac:dyDescent="0.25">
      <c r="A247" s="35" t="str">
        <f>TEXT(Tabela2[[#This Row],[DATA]],"MMMM")</f>
        <v>janeiro</v>
      </c>
      <c r="B247" s="25"/>
      <c r="C247" s="39"/>
      <c r="D247" s="26"/>
      <c r="E247" s="26"/>
      <c r="F247" s="26"/>
      <c r="G247" s="20"/>
      <c r="H247" s="26"/>
      <c r="I247" s="20"/>
      <c r="J247" s="26"/>
      <c r="K247" s="26"/>
      <c r="L247" s="27"/>
      <c r="M247" s="26"/>
      <c r="N247" s="28"/>
      <c r="O247" s="28"/>
    </row>
    <row r="248" spans="1:15" x14ac:dyDescent="0.25">
      <c r="A248" s="35" t="str">
        <f>TEXT(Tabela2[[#This Row],[DATA]],"MMMM")</f>
        <v>janeiro</v>
      </c>
      <c r="B248" s="25"/>
      <c r="C248" s="39"/>
      <c r="D248" s="26"/>
      <c r="E248" s="26"/>
      <c r="F248" s="26"/>
      <c r="G248" s="20"/>
      <c r="H248" s="26"/>
      <c r="I248" s="20"/>
      <c r="J248" s="26"/>
      <c r="K248" s="26"/>
      <c r="L248" s="27"/>
      <c r="M248" s="26"/>
      <c r="N248" s="28"/>
      <c r="O248" s="28"/>
    </row>
    <row r="249" spans="1:15" x14ac:dyDescent="0.25">
      <c r="A249" s="35" t="str">
        <f>TEXT(Tabela2[[#This Row],[DATA]],"MMMM")</f>
        <v>janeiro</v>
      </c>
      <c r="B249" s="25"/>
      <c r="C249" s="39"/>
      <c r="D249" s="26"/>
      <c r="E249" s="26"/>
      <c r="F249" s="26"/>
      <c r="G249" s="20"/>
      <c r="H249" s="26"/>
      <c r="I249" s="20"/>
      <c r="J249" s="26"/>
      <c r="K249" s="26"/>
      <c r="L249" s="27"/>
      <c r="M249" s="26"/>
      <c r="N249" s="28"/>
      <c r="O249" s="28"/>
    </row>
    <row r="250" spans="1:15" x14ac:dyDescent="0.25">
      <c r="A250" s="35" t="str">
        <f>TEXT(Tabela2[[#This Row],[DATA]],"MMMM")</f>
        <v>janeiro</v>
      </c>
      <c r="B250" s="25"/>
      <c r="C250" s="39"/>
      <c r="D250" s="26"/>
      <c r="E250" s="26"/>
      <c r="F250" s="26"/>
      <c r="G250" s="20"/>
      <c r="H250" s="26"/>
      <c r="I250" s="20"/>
      <c r="J250" s="26"/>
      <c r="K250" s="26"/>
      <c r="L250" s="27"/>
      <c r="M250" s="26"/>
      <c r="N250" s="28"/>
      <c r="O250" s="28"/>
    </row>
    <row r="251" spans="1:15" x14ac:dyDescent="0.25">
      <c r="A251" s="35" t="str">
        <f>TEXT(Tabela2[[#This Row],[DATA]],"MMMM")</f>
        <v>janeiro</v>
      </c>
      <c r="B251" s="25"/>
      <c r="C251" s="39"/>
      <c r="D251" s="26"/>
      <c r="E251" s="26"/>
      <c r="F251" s="26"/>
      <c r="G251" s="20"/>
      <c r="H251" s="26"/>
      <c r="I251" s="20"/>
      <c r="J251" s="26"/>
      <c r="K251" s="26"/>
      <c r="L251" s="27"/>
      <c r="M251" s="26"/>
      <c r="N251" s="28"/>
      <c r="O251" s="28"/>
    </row>
    <row r="252" spans="1:15" x14ac:dyDescent="0.25">
      <c r="A252" s="35" t="str">
        <f>TEXT(Tabela2[[#This Row],[DATA]],"MMMM")</f>
        <v>janeiro</v>
      </c>
      <c r="B252" s="25"/>
      <c r="C252" s="39"/>
      <c r="D252" s="26"/>
      <c r="E252" s="26"/>
      <c r="F252" s="26"/>
      <c r="G252" s="20"/>
      <c r="H252" s="26"/>
      <c r="I252" s="20"/>
      <c r="J252" s="26"/>
      <c r="K252" s="26"/>
      <c r="L252" s="27"/>
      <c r="M252" s="26"/>
      <c r="N252" s="28"/>
      <c r="O252" s="28"/>
    </row>
    <row r="253" spans="1:15" x14ac:dyDescent="0.25">
      <c r="A253" s="35" t="str">
        <f>TEXT(Tabela2[[#This Row],[DATA]],"MMMM")</f>
        <v>janeiro</v>
      </c>
      <c r="B253" s="25"/>
      <c r="C253" s="39"/>
      <c r="D253" s="26"/>
      <c r="E253" s="26"/>
      <c r="F253" s="26"/>
      <c r="G253" s="20"/>
      <c r="H253" s="26"/>
      <c r="I253" s="20"/>
      <c r="J253" s="26"/>
      <c r="K253" s="26"/>
      <c r="L253" s="27"/>
      <c r="M253" s="26"/>
      <c r="N253" s="28"/>
      <c r="O253" s="28"/>
    </row>
    <row r="254" spans="1:15" x14ac:dyDescent="0.25">
      <c r="A254" s="35" t="str">
        <f>TEXT(Tabela2[[#This Row],[DATA]],"MMMM")</f>
        <v>janeiro</v>
      </c>
      <c r="B254" s="25"/>
      <c r="C254" s="39"/>
      <c r="D254" s="26"/>
      <c r="E254" s="26"/>
      <c r="F254" s="26"/>
      <c r="G254" s="20"/>
      <c r="H254" s="26"/>
      <c r="I254" s="20"/>
      <c r="J254" s="26"/>
      <c r="K254" s="26"/>
      <c r="L254" s="27"/>
      <c r="M254" s="26"/>
      <c r="N254" s="28"/>
      <c r="O254" s="28"/>
    </row>
    <row r="255" spans="1:15" x14ac:dyDescent="0.25">
      <c r="A255" s="35" t="str">
        <f>TEXT(Tabela2[[#This Row],[DATA]],"MMMM")</f>
        <v>janeiro</v>
      </c>
      <c r="B255" s="25"/>
      <c r="C255" s="39"/>
      <c r="D255" s="26"/>
      <c r="E255" s="26"/>
      <c r="F255" s="26"/>
      <c r="G255" s="20"/>
      <c r="H255" s="26"/>
      <c r="I255" s="20"/>
      <c r="J255" s="26"/>
      <c r="K255" s="26"/>
      <c r="L255" s="27"/>
      <c r="M255" s="26"/>
      <c r="N255" s="28"/>
      <c r="O255" s="28"/>
    </row>
    <row r="256" spans="1:15" x14ac:dyDescent="0.25">
      <c r="A256" s="35" t="str">
        <f>TEXT(Tabela2[[#This Row],[DATA]],"MMMM")</f>
        <v>janeiro</v>
      </c>
      <c r="B256" s="25"/>
      <c r="C256" s="39"/>
      <c r="D256" s="26"/>
      <c r="E256" s="26"/>
      <c r="F256" s="26"/>
      <c r="G256" s="20"/>
      <c r="H256" s="26"/>
      <c r="I256" s="20"/>
      <c r="J256" s="26"/>
      <c r="K256" s="26"/>
      <c r="L256" s="27"/>
      <c r="M256" s="26"/>
      <c r="N256" s="28"/>
      <c r="O256" s="28"/>
    </row>
    <row r="257" spans="1:15" x14ac:dyDescent="0.25">
      <c r="A257" s="35" t="str">
        <f>TEXT(Tabela2[[#This Row],[DATA]],"MMMM")</f>
        <v>janeiro</v>
      </c>
      <c r="B257" s="25"/>
      <c r="C257" s="39"/>
      <c r="D257" s="26"/>
      <c r="E257" s="26"/>
      <c r="F257" s="26"/>
      <c r="G257" s="20"/>
      <c r="H257" s="26"/>
      <c r="I257" s="20"/>
      <c r="J257" s="26"/>
      <c r="K257" s="26"/>
      <c r="L257" s="27"/>
      <c r="M257" s="26"/>
      <c r="N257" s="28"/>
      <c r="O257" s="28"/>
    </row>
    <row r="258" spans="1:15" x14ac:dyDescent="0.25">
      <c r="A258" s="35" t="str">
        <f>TEXT(Tabela2[[#This Row],[DATA]],"MMMM")</f>
        <v>janeiro</v>
      </c>
      <c r="B258" s="25"/>
      <c r="C258" s="39"/>
      <c r="D258" s="26"/>
      <c r="E258" s="26"/>
      <c r="F258" s="26"/>
      <c r="G258" s="20"/>
      <c r="H258" s="26"/>
      <c r="I258" s="20"/>
      <c r="J258" s="26"/>
      <c r="K258" s="26"/>
      <c r="L258" s="27"/>
      <c r="M258" s="26"/>
      <c r="N258" s="28"/>
      <c r="O258" s="28"/>
    </row>
    <row r="259" spans="1:15" x14ac:dyDescent="0.25">
      <c r="A259" s="35" t="str">
        <f>TEXT(Tabela2[[#This Row],[DATA]],"MMMM")</f>
        <v>janeiro</v>
      </c>
      <c r="B259" s="25"/>
      <c r="C259" s="39"/>
      <c r="D259" s="26"/>
      <c r="E259" s="26"/>
      <c r="F259" s="26"/>
      <c r="G259" s="20"/>
      <c r="H259" s="26"/>
      <c r="I259" s="20"/>
      <c r="J259" s="26"/>
      <c r="K259" s="26"/>
      <c r="L259" s="27"/>
      <c r="M259" s="26"/>
      <c r="N259" s="28"/>
      <c r="O259" s="28"/>
    </row>
    <row r="260" spans="1:15" x14ac:dyDescent="0.25">
      <c r="A260" s="35" t="str">
        <f>TEXT(Tabela2[[#This Row],[DATA]],"MMMM")</f>
        <v>janeiro</v>
      </c>
      <c r="B260" s="25"/>
      <c r="C260" s="39"/>
      <c r="D260" s="26"/>
      <c r="E260" s="26"/>
      <c r="F260" s="26"/>
      <c r="G260" s="20"/>
      <c r="H260" s="26"/>
      <c r="I260" s="20"/>
      <c r="J260" s="26"/>
      <c r="K260" s="26"/>
      <c r="L260" s="27"/>
      <c r="M260" s="26"/>
      <c r="N260" s="28"/>
      <c r="O260" s="28"/>
    </row>
    <row r="261" spans="1:15" x14ac:dyDescent="0.25">
      <c r="A261" s="35" t="str">
        <f>TEXT(Tabela2[[#This Row],[DATA]],"MMMM")</f>
        <v>janeiro</v>
      </c>
      <c r="B261" s="25"/>
      <c r="C261" s="39"/>
      <c r="D261" s="26"/>
      <c r="E261" s="26"/>
      <c r="F261" s="26"/>
      <c r="G261" s="20"/>
      <c r="H261" s="26"/>
      <c r="I261" s="20"/>
      <c r="J261" s="26"/>
      <c r="K261" s="26"/>
      <c r="L261" s="27"/>
      <c r="M261" s="26"/>
      <c r="N261" s="28"/>
      <c r="O261" s="28"/>
    </row>
    <row r="262" spans="1:15" x14ac:dyDescent="0.25">
      <c r="A262" s="35" t="str">
        <f>TEXT(Tabela2[[#This Row],[DATA]],"MMMM")</f>
        <v>janeiro</v>
      </c>
      <c r="B262" s="25"/>
      <c r="C262" s="39"/>
      <c r="D262" s="26"/>
      <c r="E262" s="26"/>
      <c r="F262" s="26"/>
      <c r="G262" s="20"/>
      <c r="H262" s="26"/>
      <c r="I262" s="20"/>
      <c r="J262" s="26"/>
      <c r="K262" s="26"/>
      <c r="L262" s="27"/>
      <c r="M262" s="26"/>
      <c r="N262" s="28"/>
      <c r="O262" s="28"/>
    </row>
    <row r="263" spans="1:15" x14ac:dyDescent="0.25">
      <c r="A263" s="35" t="str">
        <f>TEXT(Tabela2[[#This Row],[DATA]],"MMMM")</f>
        <v>janeiro</v>
      </c>
      <c r="B263" s="25"/>
      <c r="C263" s="39"/>
      <c r="D263" s="26"/>
      <c r="E263" s="26"/>
      <c r="F263" s="26"/>
      <c r="G263" s="20"/>
      <c r="H263" s="26"/>
      <c r="I263" s="20"/>
      <c r="J263" s="26"/>
      <c r="K263" s="26"/>
      <c r="L263" s="27"/>
      <c r="M263" s="26"/>
      <c r="N263" s="28"/>
      <c r="O263" s="28"/>
    </row>
    <row r="264" spans="1:15" x14ac:dyDescent="0.25">
      <c r="A264" s="35" t="str">
        <f>TEXT(Tabela2[[#This Row],[DATA]],"MMMM")</f>
        <v>janeiro</v>
      </c>
      <c r="B264" s="25"/>
      <c r="C264" s="39"/>
      <c r="D264" s="26"/>
      <c r="E264" s="26"/>
      <c r="F264" s="26"/>
      <c r="G264" s="20"/>
      <c r="H264" s="26"/>
      <c r="I264" s="20"/>
      <c r="J264" s="26"/>
      <c r="K264" s="26"/>
      <c r="L264" s="27"/>
      <c r="M264" s="26"/>
      <c r="N264" s="28"/>
      <c r="O264" s="28"/>
    </row>
    <row r="265" spans="1:15" x14ac:dyDescent="0.25">
      <c r="A265" s="35" t="str">
        <f>TEXT(Tabela2[[#This Row],[DATA]],"MMMM")</f>
        <v>janeiro</v>
      </c>
      <c r="B265" s="25"/>
      <c r="C265" s="39"/>
      <c r="D265" s="26"/>
      <c r="E265" s="26"/>
      <c r="F265" s="26"/>
      <c r="G265" s="20"/>
      <c r="H265" s="26"/>
      <c r="I265" s="20"/>
      <c r="J265" s="26"/>
      <c r="K265" s="26"/>
      <c r="L265" s="27"/>
      <c r="M265" s="26"/>
      <c r="N265" s="28"/>
      <c r="O265" s="28"/>
    </row>
    <row r="266" spans="1:15" x14ac:dyDescent="0.25">
      <c r="A266" s="35" t="str">
        <f>TEXT(Tabela2[[#This Row],[DATA]],"MMMM")</f>
        <v>janeiro</v>
      </c>
      <c r="B266" s="25"/>
      <c r="C266" s="39"/>
      <c r="D266" s="26"/>
      <c r="E266" s="26"/>
      <c r="F266" s="26"/>
      <c r="G266" s="20"/>
      <c r="H266" s="26"/>
      <c r="I266" s="20"/>
      <c r="J266" s="26"/>
      <c r="K266" s="26"/>
      <c r="L266" s="27"/>
      <c r="M266" s="26"/>
      <c r="N266" s="28"/>
      <c r="O266" s="28"/>
    </row>
    <row r="267" spans="1:15" x14ac:dyDescent="0.25">
      <c r="A267" s="35" t="str">
        <f>TEXT(Tabela2[[#This Row],[DATA]],"MMMM")</f>
        <v>janeiro</v>
      </c>
      <c r="B267" s="25"/>
      <c r="C267" s="39"/>
      <c r="D267" s="26"/>
      <c r="E267" s="26"/>
      <c r="F267" s="26"/>
      <c r="G267" s="20"/>
      <c r="H267" s="26"/>
      <c r="I267" s="20"/>
      <c r="J267" s="26"/>
      <c r="K267" s="26"/>
      <c r="L267" s="27"/>
      <c r="M267" s="26"/>
      <c r="N267" s="28"/>
      <c r="O267" s="28"/>
    </row>
    <row r="268" spans="1:15" x14ac:dyDescent="0.25">
      <c r="A268" s="35" t="str">
        <f>TEXT(Tabela2[[#This Row],[DATA]],"MMMM")</f>
        <v>janeiro</v>
      </c>
      <c r="B268" s="25"/>
      <c r="C268" s="39"/>
      <c r="D268" s="26"/>
      <c r="E268" s="26"/>
      <c r="F268" s="26"/>
      <c r="G268" s="20"/>
      <c r="H268" s="26"/>
      <c r="I268" s="20"/>
      <c r="J268" s="26"/>
      <c r="K268" s="26"/>
      <c r="L268" s="27"/>
      <c r="M268" s="26"/>
      <c r="N268" s="28"/>
      <c r="O268" s="28"/>
    </row>
    <row r="269" spans="1:15" x14ac:dyDescent="0.25">
      <c r="A269" s="35" t="str">
        <f>TEXT(Tabela2[[#This Row],[DATA]],"MMMM")</f>
        <v>janeiro</v>
      </c>
      <c r="B269" s="25"/>
      <c r="C269" s="39"/>
      <c r="D269" s="26"/>
      <c r="E269" s="26"/>
      <c r="F269" s="26"/>
      <c r="G269" s="20"/>
      <c r="H269" s="26"/>
      <c r="I269" s="20"/>
      <c r="J269" s="26"/>
      <c r="K269" s="26"/>
      <c r="L269" s="27"/>
      <c r="M269" s="26"/>
      <c r="N269" s="28"/>
      <c r="O269" s="28"/>
    </row>
    <row r="270" spans="1:15" x14ac:dyDescent="0.25">
      <c r="A270" s="35" t="str">
        <f>TEXT(Tabela2[[#This Row],[DATA]],"MMMM")</f>
        <v>janeiro</v>
      </c>
      <c r="B270" s="25"/>
      <c r="C270" s="39"/>
      <c r="D270" s="26"/>
      <c r="E270" s="26"/>
      <c r="F270" s="26"/>
      <c r="G270" s="20"/>
      <c r="H270" s="26"/>
      <c r="I270" s="20"/>
      <c r="J270" s="26"/>
      <c r="K270" s="26"/>
      <c r="L270" s="27"/>
      <c r="M270" s="26"/>
      <c r="N270" s="28"/>
      <c r="O270" s="28"/>
    </row>
    <row r="271" spans="1:15" x14ac:dyDescent="0.25">
      <c r="A271" s="35" t="str">
        <f>TEXT(Tabela2[[#This Row],[DATA]],"MMMM")</f>
        <v>janeiro</v>
      </c>
      <c r="B271" s="25"/>
      <c r="C271" s="39"/>
      <c r="D271" s="26"/>
      <c r="E271" s="26"/>
      <c r="F271" s="26"/>
      <c r="G271" s="20"/>
      <c r="H271" s="26"/>
      <c r="I271" s="20"/>
      <c r="J271" s="26"/>
      <c r="K271" s="26"/>
      <c r="L271" s="27"/>
      <c r="M271" s="26"/>
      <c r="N271" s="28"/>
      <c r="O271" s="28"/>
    </row>
    <row r="272" spans="1:15" x14ac:dyDescent="0.25">
      <c r="A272" s="35" t="str">
        <f>TEXT(Tabela2[[#This Row],[DATA]],"MMMM")</f>
        <v>janeiro</v>
      </c>
      <c r="B272" s="25"/>
      <c r="C272" s="39"/>
      <c r="D272" s="26"/>
      <c r="E272" s="26"/>
      <c r="F272" s="26"/>
      <c r="G272" s="20"/>
      <c r="H272" s="26"/>
      <c r="I272" s="20"/>
      <c r="J272" s="26"/>
      <c r="K272" s="26"/>
      <c r="L272" s="27"/>
      <c r="M272" s="26"/>
      <c r="N272" s="28"/>
      <c r="O272" s="28"/>
    </row>
    <row r="273" spans="1:15" x14ac:dyDescent="0.25">
      <c r="A273" s="35" t="str">
        <f>TEXT(Tabela2[[#This Row],[DATA]],"MMMM")</f>
        <v>janeiro</v>
      </c>
      <c r="B273" s="25"/>
      <c r="C273" s="39"/>
      <c r="D273" s="26"/>
      <c r="E273" s="26"/>
      <c r="F273" s="26"/>
      <c r="G273" s="20"/>
      <c r="H273" s="26"/>
      <c r="I273" s="20"/>
      <c r="J273" s="26"/>
      <c r="K273" s="26"/>
      <c r="L273" s="27"/>
      <c r="M273" s="26"/>
      <c r="N273" s="28"/>
      <c r="O273" s="28"/>
    </row>
    <row r="274" spans="1:15" x14ac:dyDescent="0.25">
      <c r="A274" s="35" t="str">
        <f>TEXT(Tabela2[[#This Row],[DATA]],"MMMM")</f>
        <v>janeiro</v>
      </c>
      <c r="B274" s="25"/>
      <c r="C274" s="39"/>
      <c r="D274" s="26"/>
      <c r="E274" s="26"/>
      <c r="F274" s="26"/>
      <c r="G274" s="20"/>
      <c r="H274" s="26"/>
      <c r="I274" s="20"/>
      <c r="J274" s="26"/>
      <c r="K274" s="26"/>
      <c r="L274" s="27"/>
      <c r="M274" s="26"/>
      <c r="N274" s="28"/>
      <c r="O274" s="28"/>
    </row>
    <row r="275" spans="1:15" x14ac:dyDescent="0.25">
      <c r="A275" s="35" t="str">
        <f>TEXT(Tabela2[[#This Row],[DATA]],"MMMM")</f>
        <v>janeiro</v>
      </c>
      <c r="B275" s="25"/>
      <c r="C275" s="39"/>
      <c r="D275" s="26"/>
      <c r="E275" s="26"/>
      <c r="F275" s="26"/>
      <c r="G275" s="20"/>
      <c r="H275" s="26"/>
      <c r="I275" s="20"/>
      <c r="J275" s="26"/>
      <c r="K275" s="26"/>
      <c r="L275" s="27"/>
      <c r="M275" s="26"/>
      <c r="N275" s="28"/>
      <c r="O275" s="28"/>
    </row>
    <row r="276" spans="1:15" x14ac:dyDescent="0.25">
      <c r="A276" s="35" t="str">
        <f>TEXT(Tabela2[[#This Row],[DATA]],"MMMM")</f>
        <v>janeiro</v>
      </c>
      <c r="B276" s="25"/>
      <c r="C276" s="39"/>
      <c r="D276" s="26"/>
      <c r="E276" s="26"/>
      <c r="F276" s="26"/>
      <c r="G276" s="20"/>
      <c r="H276" s="26"/>
      <c r="I276" s="20"/>
      <c r="J276" s="26"/>
      <c r="K276" s="26"/>
      <c r="L276" s="27"/>
      <c r="M276" s="26"/>
      <c r="N276" s="28"/>
      <c r="O276" s="28"/>
    </row>
    <row r="277" spans="1:15" x14ac:dyDescent="0.25">
      <c r="A277" s="35" t="str">
        <f>TEXT(Tabela2[[#This Row],[DATA]],"MMMM")</f>
        <v>janeiro</v>
      </c>
      <c r="B277" s="25"/>
      <c r="C277" s="39"/>
      <c r="D277" s="26"/>
      <c r="E277" s="26"/>
      <c r="F277" s="26"/>
      <c r="G277" s="20"/>
      <c r="H277" s="26"/>
      <c r="I277" s="20"/>
      <c r="J277" s="26"/>
      <c r="K277" s="26"/>
      <c r="L277" s="27"/>
      <c r="M277" s="26"/>
      <c r="N277" s="28"/>
      <c r="O277" s="28"/>
    </row>
    <row r="278" spans="1:15" x14ac:dyDescent="0.25">
      <c r="A278" s="35" t="str">
        <f>TEXT(Tabela2[[#This Row],[DATA]],"MMMM")</f>
        <v>janeiro</v>
      </c>
      <c r="B278" s="25"/>
      <c r="C278" s="39"/>
      <c r="D278" s="26"/>
      <c r="E278" s="26"/>
      <c r="F278" s="26"/>
      <c r="G278" s="20"/>
      <c r="H278" s="26"/>
      <c r="I278" s="20"/>
      <c r="J278" s="26"/>
      <c r="K278" s="26"/>
      <c r="L278" s="27"/>
      <c r="M278" s="26"/>
      <c r="N278" s="28"/>
      <c r="O278" s="28"/>
    </row>
    <row r="279" spans="1:15" x14ac:dyDescent="0.25">
      <c r="A279" s="35" t="str">
        <f>TEXT(Tabela2[[#This Row],[DATA]],"MMMM")</f>
        <v>janeiro</v>
      </c>
      <c r="B279" s="25"/>
      <c r="C279" s="39"/>
      <c r="D279" s="26"/>
      <c r="E279" s="26"/>
      <c r="F279" s="26"/>
      <c r="G279" s="20"/>
      <c r="H279" s="26"/>
      <c r="I279" s="20"/>
      <c r="J279" s="26"/>
      <c r="K279" s="26"/>
      <c r="L279" s="27"/>
      <c r="M279" s="26"/>
      <c r="N279" s="28"/>
      <c r="O279" s="28"/>
    </row>
    <row r="280" spans="1:15" x14ac:dyDescent="0.25">
      <c r="A280" s="35" t="str">
        <f>TEXT(Tabela2[[#This Row],[DATA]],"MMMM")</f>
        <v>janeiro</v>
      </c>
      <c r="B280" s="25"/>
      <c r="C280" s="39"/>
      <c r="D280" s="26"/>
      <c r="E280" s="26"/>
      <c r="F280" s="26"/>
      <c r="G280" s="20"/>
      <c r="H280" s="26"/>
      <c r="I280" s="20"/>
      <c r="J280" s="26"/>
      <c r="K280" s="26"/>
      <c r="L280" s="27"/>
      <c r="M280" s="26"/>
      <c r="N280" s="28"/>
      <c r="O280" s="28"/>
    </row>
    <row r="281" spans="1:15" x14ac:dyDescent="0.25">
      <c r="A281" s="35" t="str">
        <f>TEXT(Tabela2[[#This Row],[DATA]],"MMMM")</f>
        <v>janeiro</v>
      </c>
      <c r="B281" s="25"/>
      <c r="C281" s="39"/>
      <c r="D281" s="26"/>
      <c r="E281" s="26"/>
      <c r="F281" s="26"/>
      <c r="G281" s="20"/>
      <c r="H281" s="26"/>
      <c r="I281" s="20"/>
      <c r="J281" s="26"/>
      <c r="K281" s="26"/>
      <c r="L281" s="27"/>
      <c r="M281" s="26"/>
      <c r="N281" s="28"/>
      <c r="O281" s="28"/>
    </row>
    <row r="282" spans="1:15" x14ac:dyDescent="0.25">
      <c r="A282" s="35" t="str">
        <f>TEXT(Tabela2[[#This Row],[DATA]],"MMMM")</f>
        <v>janeiro</v>
      </c>
      <c r="B282" s="25"/>
      <c r="C282" s="39"/>
      <c r="D282" s="26"/>
      <c r="E282" s="26"/>
      <c r="F282" s="26"/>
      <c r="G282" s="20"/>
      <c r="H282" s="26"/>
      <c r="I282" s="20"/>
      <c r="J282" s="26"/>
      <c r="K282" s="26"/>
      <c r="L282" s="27"/>
      <c r="M282" s="26"/>
      <c r="N282" s="28"/>
      <c r="O282" s="28"/>
    </row>
    <row r="283" spans="1:15" x14ac:dyDescent="0.25">
      <c r="A283" s="35" t="str">
        <f>TEXT(Tabela2[[#This Row],[DATA]],"MMMM")</f>
        <v>janeiro</v>
      </c>
      <c r="B283" s="25"/>
      <c r="C283" s="39"/>
      <c r="D283" s="26"/>
      <c r="E283" s="26"/>
      <c r="F283" s="26"/>
      <c r="G283" s="20"/>
      <c r="H283" s="26"/>
      <c r="I283" s="20"/>
      <c r="J283" s="26"/>
      <c r="K283" s="26"/>
      <c r="L283" s="27"/>
      <c r="M283" s="26"/>
      <c r="N283" s="28"/>
      <c r="O283" s="28"/>
    </row>
    <row r="284" spans="1:15" x14ac:dyDescent="0.25">
      <c r="A284" s="35" t="str">
        <f>TEXT(Tabela2[[#This Row],[DATA]],"MMMM")</f>
        <v>janeiro</v>
      </c>
      <c r="B284" s="25"/>
      <c r="C284" s="39"/>
      <c r="D284" s="26"/>
      <c r="E284" s="26"/>
      <c r="F284" s="26"/>
      <c r="G284" s="20"/>
      <c r="H284" s="26"/>
      <c r="I284" s="20"/>
      <c r="J284" s="26"/>
      <c r="K284" s="26"/>
      <c r="L284" s="27"/>
      <c r="M284" s="26"/>
      <c r="N284" s="28"/>
      <c r="O284" s="28"/>
    </row>
    <row r="285" spans="1:15" x14ac:dyDescent="0.25">
      <c r="A285" s="35" t="str">
        <f>TEXT(Tabela2[[#This Row],[DATA]],"MMMM")</f>
        <v>janeiro</v>
      </c>
      <c r="B285" s="25"/>
      <c r="C285" s="39"/>
      <c r="D285" s="26"/>
      <c r="E285" s="26"/>
      <c r="F285" s="26"/>
      <c r="G285" s="20"/>
      <c r="H285" s="26"/>
      <c r="I285" s="20"/>
      <c r="J285" s="26"/>
      <c r="K285" s="26"/>
      <c r="L285" s="27"/>
      <c r="M285" s="26"/>
      <c r="N285" s="28"/>
      <c r="O285" s="28"/>
    </row>
    <row r="286" spans="1:15" x14ac:dyDescent="0.25">
      <c r="A286" s="35" t="str">
        <f>TEXT(Tabela2[[#This Row],[DATA]],"MMMM")</f>
        <v>janeiro</v>
      </c>
      <c r="B286" s="25"/>
      <c r="C286" s="39"/>
      <c r="D286" s="26"/>
      <c r="E286" s="26"/>
      <c r="F286" s="26"/>
      <c r="G286" s="20"/>
      <c r="H286" s="26"/>
      <c r="I286" s="20"/>
      <c r="J286" s="26"/>
      <c r="K286" s="26"/>
      <c r="L286" s="27"/>
      <c r="M286" s="26"/>
      <c r="N286" s="28"/>
      <c r="O286" s="28"/>
    </row>
    <row r="287" spans="1:15" x14ac:dyDescent="0.25">
      <c r="A287" s="35" t="str">
        <f>TEXT(Tabela2[[#This Row],[DATA]],"MMMM")</f>
        <v>janeiro</v>
      </c>
      <c r="B287" s="25"/>
      <c r="C287" s="39"/>
      <c r="D287" s="26"/>
      <c r="E287" s="26"/>
      <c r="F287" s="26"/>
      <c r="G287" s="20"/>
      <c r="H287" s="26"/>
      <c r="I287" s="20"/>
      <c r="J287" s="26"/>
      <c r="K287" s="26"/>
      <c r="L287" s="27"/>
      <c r="M287" s="26"/>
      <c r="N287" s="28"/>
      <c r="O287" s="28"/>
    </row>
    <row r="288" spans="1:15" x14ac:dyDescent="0.25">
      <c r="A288" s="35" t="str">
        <f>TEXT(Tabela2[[#This Row],[DATA]],"MMMM")</f>
        <v>janeiro</v>
      </c>
      <c r="B288" s="25"/>
      <c r="C288" s="39"/>
      <c r="D288" s="26"/>
      <c r="E288" s="26"/>
      <c r="F288" s="26"/>
      <c r="G288" s="20"/>
      <c r="H288" s="26"/>
      <c r="I288" s="20"/>
      <c r="J288" s="26"/>
      <c r="K288" s="26"/>
      <c r="L288" s="27"/>
      <c r="M288" s="26"/>
      <c r="N288" s="28"/>
      <c r="O288" s="28"/>
    </row>
    <row r="289" spans="1:15" x14ac:dyDescent="0.25">
      <c r="A289" s="35" t="str">
        <f>TEXT(Tabela2[[#This Row],[DATA]],"MMMM")</f>
        <v>janeiro</v>
      </c>
      <c r="B289" s="25"/>
      <c r="C289" s="39"/>
      <c r="D289" s="26"/>
      <c r="E289" s="26"/>
      <c r="F289" s="26"/>
      <c r="G289" s="20"/>
      <c r="H289" s="26"/>
      <c r="I289" s="20"/>
      <c r="J289" s="26"/>
      <c r="K289" s="26"/>
      <c r="L289" s="27"/>
      <c r="M289" s="26"/>
      <c r="N289" s="28"/>
      <c r="O289" s="28"/>
    </row>
    <row r="290" spans="1:15" x14ac:dyDescent="0.25">
      <c r="A290" s="35" t="str">
        <f>TEXT(Tabela2[[#This Row],[DATA]],"MMMM")</f>
        <v>janeiro</v>
      </c>
      <c r="B290" s="25"/>
      <c r="C290" s="39"/>
      <c r="D290" s="26"/>
      <c r="E290" s="26"/>
      <c r="F290" s="26"/>
      <c r="G290" s="20"/>
      <c r="H290" s="26"/>
      <c r="I290" s="20"/>
      <c r="J290" s="26"/>
      <c r="K290" s="26"/>
      <c r="L290" s="27"/>
      <c r="M290" s="26"/>
      <c r="N290" s="28"/>
      <c r="O290" s="28"/>
    </row>
    <row r="291" spans="1:15" x14ac:dyDescent="0.25">
      <c r="A291" s="35" t="str">
        <f>TEXT(Tabela2[[#This Row],[DATA]],"MMMM")</f>
        <v>janeiro</v>
      </c>
      <c r="B291" s="25"/>
      <c r="C291" s="39"/>
      <c r="D291" s="26"/>
      <c r="E291" s="26"/>
      <c r="F291" s="26"/>
      <c r="G291" s="20"/>
      <c r="H291" s="26"/>
      <c r="I291" s="20"/>
      <c r="J291" s="26"/>
      <c r="K291" s="26"/>
      <c r="L291" s="27"/>
      <c r="M291" s="26"/>
      <c r="N291" s="28"/>
      <c r="O291" s="28"/>
    </row>
    <row r="292" spans="1:15" x14ac:dyDescent="0.25">
      <c r="A292" s="35" t="str">
        <f>TEXT(Tabela2[[#This Row],[DATA]],"MMMM")</f>
        <v>janeiro</v>
      </c>
      <c r="B292" s="25"/>
      <c r="C292" s="39"/>
      <c r="D292" s="26"/>
      <c r="E292" s="26"/>
      <c r="F292" s="26"/>
      <c r="G292" s="20"/>
      <c r="H292" s="26"/>
      <c r="I292" s="20"/>
      <c r="J292" s="26"/>
      <c r="K292" s="26"/>
      <c r="L292" s="27"/>
      <c r="M292" s="26"/>
      <c r="N292" s="28"/>
      <c r="O292" s="28"/>
    </row>
    <row r="293" spans="1:15" x14ac:dyDescent="0.25">
      <c r="A293" s="35" t="str">
        <f>TEXT(Tabela2[[#This Row],[DATA]],"MMMM")</f>
        <v>janeiro</v>
      </c>
      <c r="B293" s="25"/>
      <c r="C293" s="39"/>
      <c r="D293" s="26"/>
      <c r="E293" s="26"/>
      <c r="F293" s="26"/>
      <c r="G293" s="20"/>
      <c r="H293" s="26"/>
      <c r="I293" s="20"/>
      <c r="J293" s="26"/>
      <c r="K293" s="26"/>
      <c r="L293" s="27"/>
      <c r="M293" s="26"/>
      <c r="N293" s="28"/>
      <c r="O293" s="28"/>
    </row>
    <row r="294" spans="1:15" x14ac:dyDescent="0.25">
      <c r="A294" s="35" t="str">
        <f>TEXT(Tabela2[[#This Row],[DATA]],"MMMM")</f>
        <v>janeiro</v>
      </c>
      <c r="B294" s="25"/>
      <c r="C294" s="39"/>
      <c r="D294" s="26"/>
      <c r="E294" s="26"/>
      <c r="F294" s="26"/>
      <c r="G294" s="20"/>
      <c r="H294" s="26"/>
      <c r="I294" s="20"/>
      <c r="J294" s="26"/>
      <c r="K294" s="26"/>
      <c r="L294" s="27"/>
      <c r="M294" s="26"/>
      <c r="N294" s="28"/>
      <c r="O294" s="28"/>
    </row>
    <row r="295" spans="1:15" x14ac:dyDescent="0.25">
      <c r="A295" s="35" t="str">
        <f>TEXT(Tabela2[[#This Row],[DATA]],"MMMM")</f>
        <v>janeiro</v>
      </c>
      <c r="B295" s="25"/>
      <c r="C295" s="39"/>
      <c r="D295" s="26"/>
      <c r="E295" s="26"/>
      <c r="F295" s="26"/>
      <c r="G295" s="20"/>
      <c r="H295" s="26"/>
      <c r="I295" s="20"/>
      <c r="J295" s="26"/>
      <c r="K295" s="26"/>
      <c r="L295" s="27"/>
      <c r="M295" s="26"/>
      <c r="N295" s="28"/>
      <c r="O295" s="28"/>
    </row>
    <row r="296" spans="1:15" x14ac:dyDescent="0.25">
      <c r="A296" s="35" t="str">
        <f>TEXT(Tabela2[[#This Row],[DATA]],"MMMM")</f>
        <v>janeiro</v>
      </c>
      <c r="B296" s="25"/>
      <c r="C296" s="39"/>
      <c r="D296" s="26"/>
      <c r="E296" s="26"/>
      <c r="F296" s="26"/>
      <c r="G296" s="20"/>
      <c r="H296" s="26"/>
      <c r="I296" s="20"/>
      <c r="J296" s="26"/>
      <c r="K296" s="26"/>
      <c r="L296" s="27"/>
      <c r="M296" s="26"/>
      <c r="N296" s="28"/>
      <c r="O296" s="28"/>
    </row>
    <row r="297" spans="1:15" x14ac:dyDescent="0.25">
      <c r="A297" s="35" t="str">
        <f>TEXT(Tabela2[[#This Row],[DATA]],"MMMM")</f>
        <v>janeiro</v>
      </c>
      <c r="B297" s="25"/>
      <c r="C297" s="39"/>
      <c r="D297" s="26"/>
      <c r="E297" s="26"/>
      <c r="F297" s="26"/>
      <c r="G297" s="20"/>
      <c r="H297" s="26"/>
      <c r="I297" s="20"/>
      <c r="J297" s="26"/>
      <c r="K297" s="26"/>
      <c r="L297" s="27"/>
      <c r="M297" s="26"/>
      <c r="N297" s="28"/>
      <c r="O297" s="28"/>
    </row>
    <row r="298" spans="1:15" x14ac:dyDescent="0.25">
      <c r="A298" s="35" t="str">
        <f>TEXT(Tabela2[[#This Row],[DATA]],"MMMM")</f>
        <v>janeiro</v>
      </c>
      <c r="B298" s="25"/>
      <c r="C298" s="39"/>
      <c r="D298" s="26"/>
      <c r="E298" s="26"/>
      <c r="F298" s="26"/>
      <c r="G298" s="20"/>
      <c r="H298" s="26"/>
      <c r="I298" s="20"/>
      <c r="J298" s="26"/>
      <c r="K298" s="26"/>
      <c r="L298" s="27"/>
      <c r="M298" s="26"/>
      <c r="N298" s="28"/>
      <c r="O298" s="28"/>
    </row>
    <row r="299" spans="1:15" x14ac:dyDescent="0.25">
      <c r="A299" s="35" t="str">
        <f>TEXT(Tabela2[[#This Row],[DATA]],"MMMM")</f>
        <v>janeiro</v>
      </c>
      <c r="B299" s="25"/>
      <c r="C299" s="39"/>
      <c r="D299" s="26"/>
      <c r="E299" s="26"/>
      <c r="F299" s="26"/>
      <c r="G299" s="20"/>
      <c r="H299" s="26"/>
      <c r="I299" s="20"/>
      <c r="J299" s="26"/>
      <c r="K299" s="26"/>
      <c r="L299" s="27"/>
      <c r="M299" s="26"/>
      <c r="N299" s="28"/>
      <c r="O299" s="28"/>
    </row>
    <row r="300" spans="1:15" x14ac:dyDescent="0.25">
      <c r="A300" s="35" t="str">
        <f>TEXT(Tabela2[[#This Row],[DATA]],"MMMM")</f>
        <v>janeiro</v>
      </c>
      <c r="B300" s="25"/>
      <c r="C300" s="39"/>
      <c r="D300" s="26"/>
      <c r="E300" s="26"/>
      <c r="F300" s="26"/>
      <c r="G300" s="20"/>
      <c r="H300" s="26"/>
      <c r="I300" s="20"/>
      <c r="J300" s="26"/>
      <c r="K300" s="26"/>
      <c r="L300" s="27"/>
      <c r="M300" s="26"/>
      <c r="N300" s="28"/>
      <c r="O300" s="28"/>
    </row>
    <row r="301" spans="1:15" x14ac:dyDescent="0.25">
      <c r="A301" s="35" t="str">
        <f>TEXT(Tabela2[[#This Row],[DATA]],"MMMM")</f>
        <v>janeiro</v>
      </c>
      <c r="B301" s="25"/>
      <c r="C301" s="39"/>
      <c r="D301" s="26"/>
      <c r="E301" s="26"/>
      <c r="F301" s="26"/>
      <c r="G301" s="20"/>
      <c r="H301" s="26"/>
      <c r="I301" s="20"/>
      <c r="J301" s="26"/>
      <c r="K301" s="26"/>
      <c r="L301" s="27"/>
      <c r="M301" s="26"/>
      <c r="N301" s="28"/>
      <c r="O301" s="28"/>
    </row>
    <row r="302" spans="1:15" x14ac:dyDescent="0.25">
      <c r="A302" s="35" t="str">
        <f>TEXT(Tabela2[[#This Row],[DATA]],"MMMM")</f>
        <v>janeiro</v>
      </c>
      <c r="B302" s="25"/>
      <c r="C302" s="39"/>
      <c r="D302" s="26"/>
      <c r="E302" s="26"/>
      <c r="F302" s="26"/>
      <c r="G302" s="20"/>
      <c r="H302" s="26"/>
      <c r="I302" s="20"/>
      <c r="J302" s="26"/>
      <c r="K302" s="26"/>
      <c r="L302" s="27"/>
      <c r="M302" s="26"/>
      <c r="N302" s="28"/>
      <c r="O302" s="28"/>
    </row>
    <row r="303" spans="1:15" x14ac:dyDescent="0.25">
      <c r="A303" s="35" t="str">
        <f>TEXT(Tabela2[[#This Row],[DATA]],"MMMM")</f>
        <v>janeiro</v>
      </c>
      <c r="B303" s="25"/>
      <c r="C303" s="39"/>
      <c r="D303" s="26"/>
      <c r="E303" s="26"/>
      <c r="F303" s="26"/>
      <c r="G303" s="20"/>
      <c r="H303" s="26"/>
      <c r="I303" s="20"/>
      <c r="J303" s="26"/>
      <c r="K303" s="26"/>
      <c r="L303" s="27"/>
      <c r="M303" s="26"/>
      <c r="N303" s="28"/>
      <c r="O303" s="28"/>
    </row>
    <row r="304" spans="1:15" x14ac:dyDescent="0.25">
      <c r="A304" s="35" t="str">
        <f>TEXT(Tabela2[[#This Row],[DATA]],"MMMM")</f>
        <v>janeiro</v>
      </c>
      <c r="B304" s="25"/>
      <c r="C304" s="39"/>
      <c r="D304" s="26"/>
      <c r="E304" s="26"/>
      <c r="F304" s="26"/>
      <c r="G304" s="20"/>
      <c r="H304" s="26"/>
      <c r="I304" s="20"/>
      <c r="J304" s="26"/>
      <c r="K304" s="26"/>
      <c r="L304" s="27"/>
      <c r="M304" s="26"/>
      <c r="N304" s="28"/>
      <c r="O304" s="28"/>
    </row>
    <row r="305" spans="1:15" x14ac:dyDescent="0.25">
      <c r="A305" s="35" t="str">
        <f>TEXT(Tabela2[[#This Row],[DATA]],"MMMM")</f>
        <v>janeiro</v>
      </c>
      <c r="B305" s="25"/>
      <c r="C305" s="39"/>
      <c r="D305" s="26"/>
      <c r="E305" s="26"/>
      <c r="F305" s="26"/>
      <c r="G305" s="20"/>
      <c r="H305" s="26"/>
      <c r="I305" s="20"/>
      <c r="J305" s="26"/>
      <c r="K305" s="26"/>
      <c r="L305" s="27"/>
      <c r="M305" s="26"/>
      <c r="N305" s="28"/>
      <c r="O305" s="28"/>
    </row>
    <row r="306" spans="1:15" x14ac:dyDescent="0.25">
      <c r="A306" s="35" t="str">
        <f>TEXT(Tabela2[[#This Row],[DATA]],"MMMM")</f>
        <v>janeiro</v>
      </c>
      <c r="B306" s="25"/>
      <c r="C306" s="39"/>
      <c r="D306" s="26"/>
      <c r="E306" s="26"/>
      <c r="F306" s="26"/>
      <c r="G306" s="20"/>
      <c r="H306" s="26"/>
      <c r="I306" s="20"/>
      <c r="J306" s="26"/>
      <c r="K306" s="26"/>
      <c r="L306" s="27"/>
      <c r="M306" s="26"/>
      <c r="N306" s="28"/>
      <c r="O306" s="28"/>
    </row>
    <row r="307" spans="1:15" x14ac:dyDescent="0.25">
      <c r="A307" s="35" t="str">
        <f>TEXT(Tabela2[[#This Row],[DATA]],"MMMM")</f>
        <v>janeiro</v>
      </c>
      <c r="B307" s="25"/>
      <c r="C307" s="39"/>
      <c r="D307" s="26"/>
      <c r="E307" s="26"/>
      <c r="F307" s="26"/>
      <c r="G307" s="20"/>
      <c r="H307" s="26"/>
      <c r="I307" s="20"/>
      <c r="J307" s="26"/>
      <c r="K307" s="26"/>
      <c r="L307" s="27"/>
      <c r="M307" s="26"/>
      <c r="N307" s="28"/>
      <c r="O307" s="28"/>
    </row>
    <row r="308" spans="1:15" x14ac:dyDescent="0.25">
      <c r="A308" s="35" t="str">
        <f>TEXT(Tabela2[[#This Row],[DATA]],"MMMM")</f>
        <v>janeiro</v>
      </c>
      <c r="B308" s="25"/>
      <c r="C308" s="39"/>
      <c r="D308" s="26"/>
      <c r="E308" s="26"/>
      <c r="F308" s="26"/>
      <c r="G308" s="20"/>
      <c r="H308" s="26"/>
      <c r="I308" s="20"/>
      <c r="J308" s="26"/>
      <c r="K308" s="26"/>
      <c r="L308" s="27"/>
      <c r="M308" s="26"/>
      <c r="N308" s="28"/>
      <c r="O308" s="28"/>
    </row>
    <row r="309" spans="1:15" x14ac:dyDescent="0.25">
      <c r="A309" s="35" t="str">
        <f>TEXT(Tabela2[[#This Row],[DATA]],"MMMM")</f>
        <v>janeiro</v>
      </c>
      <c r="B309" s="25"/>
      <c r="C309" s="39"/>
      <c r="D309" s="26"/>
      <c r="E309" s="26"/>
      <c r="F309" s="26"/>
      <c r="G309" s="20"/>
      <c r="H309" s="26"/>
      <c r="I309" s="20"/>
      <c r="J309" s="26"/>
      <c r="K309" s="26"/>
      <c r="L309" s="27"/>
      <c r="M309" s="26"/>
      <c r="N309" s="28"/>
      <c r="O309" s="28"/>
    </row>
    <row r="310" spans="1:15" x14ac:dyDescent="0.25">
      <c r="A310" s="35" t="str">
        <f>TEXT(Tabela2[[#This Row],[DATA]],"MMMM")</f>
        <v>janeiro</v>
      </c>
      <c r="B310" s="25"/>
      <c r="C310" s="39"/>
      <c r="D310" s="26"/>
      <c r="E310" s="26"/>
      <c r="F310" s="26"/>
      <c r="G310" s="20"/>
      <c r="H310" s="26"/>
      <c r="I310" s="20"/>
      <c r="J310" s="26"/>
      <c r="K310" s="26"/>
      <c r="L310" s="27"/>
      <c r="M310" s="26"/>
      <c r="N310" s="28"/>
      <c r="O310" s="28"/>
    </row>
    <row r="311" spans="1:15" x14ac:dyDescent="0.25">
      <c r="A311" s="35" t="str">
        <f>TEXT(Tabela2[[#This Row],[DATA]],"MMMM")</f>
        <v>janeiro</v>
      </c>
      <c r="B311" s="25"/>
      <c r="C311" s="39"/>
      <c r="D311" s="26"/>
      <c r="E311" s="26"/>
      <c r="F311" s="26"/>
      <c r="G311" s="20"/>
      <c r="H311" s="26"/>
      <c r="I311" s="20"/>
      <c r="J311" s="26"/>
      <c r="K311" s="26"/>
      <c r="L311" s="27"/>
      <c r="M311" s="26"/>
      <c r="N311" s="28"/>
      <c r="O311" s="28"/>
    </row>
    <row r="312" spans="1:15" x14ac:dyDescent="0.25">
      <c r="A312" s="35" t="str">
        <f>TEXT(Tabela2[[#This Row],[DATA]],"MMMM")</f>
        <v>janeiro</v>
      </c>
      <c r="B312" s="25"/>
      <c r="C312" s="39"/>
      <c r="D312" s="26"/>
      <c r="E312" s="26"/>
      <c r="F312" s="26"/>
      <c r="G312" s="20"/>
      <c r="H312" s="26"/>
      <c r="I312" s="20"/>
      <c r="J312" s="26"/>
      <c r="K312" s="26"/>
      <c r="L312" s="27"/>
      <c r="M312" s="26"/>
      <c r="N312" s="28"/>
      <c r="O312" s="28"/>
    </row>
    <row r="313" spans="1:15" x14ac:dyDescent="0.25">
      <c r="A313" s="35" t="str">
        <f>TEXT(Tabela2[[#This Row],[DATA]],"MMMM")</f>
        <v>janeiro</v>
      </c>
      <c r="B313" s="25"/>
      <c r="C313" s="39"/>
      <c r="D313" s="26"/>
      <c r="E313" s="26"/>
      <c r="F313" s="26"/>
      <c r="G313" s="20"/>
      <c r="H313" s="26"/>
      <c r="I313" s="20"/>
      <c r="J313" s="26"/>
      <c r="K313" s="26"/>
      <c r="L313" s="27"/>
      <c r="M313" s="26"/>
      <c r="N313" s="28"/>
      <c r="O313" s="28"/>
    </row>
    <row r="314" spans="1:15" x14ac:dyDescent="0.25">
      <c r="A314" s="35" t="str">
        <f>TEXT(Tabela2[[#This Row],[DATA]],"MMMM")</f>
        <v>janeiro</v>
      </c>
      <c r="B314" s="25"/>
      <c r="C314" s="39"/>
      <c r="D314" s="26"/>
      <c r="E314" s="26"/>
      <c r="F314" s="26"/>
      <c r="G314" s="20"/>
      <c r="H314" s="26"/>
      <c r="I314" s="20"/>
      <c r="J314" s="26"/>
      <c r="K314" s="26"/>
      <c r="L314" s="27"/>
      <c r="M314" s="26"/>
      <c r="N314" s="28"/>
      <c r="O314" s="28"/>
    </row>
    <row r="315" spans="1:15" x14ac:dyDescent="0.25">
      <c r="A315" s="35" t="str">
        <f>TEXT(Tabela2[[#This Row],[DATA]],"MMMM")</f>
        <v>janeiro</v>
      </c>
      <c r="B315" s="25"/>
      <c r="C315" s="39"/>
      <c r="D315" s="26"/>
      <c r="E315" s="26"/>
      <c r="F315" s="26"/>
      <c r="G315" s="20"/>
      <c r="H315" s="26"/>
      <c r="I315" s="20"/>
      <c r="J315" s="26"/>
      <c r="K315" s="26"/>
      <c r="L315" s="27"/>
      <c r="M315" s="26"/>
      <c r="N315" s="28"/>
      <c r="O315" s="28"/>
    </row>
    <row r="316" spans="1:15" x14ac:dyDescent="0.25">
      <c r="A316" s="35" t="str">
        <f>TEXT(Tabela2[[#This Row],[DATA]],"MMMM")</f>
        <v>janeiro</v>
      </c>
      <c r="B316" s="25"/>
      <c r="C316" s="39"/>
      <c r="D316" s="26"/>
      <c r="E316" s="26"/>
      <c r="F316" s="26"/>
      <c r="G316" s="20"/>
      <c r="H316" s="26"/>
      <c r="I316" s="20"/>
      <c r="J316" s="26"/>
      <c r="K316" s="26"/>
      <c r="L316" s="27"/>
      <c r="M316" s="26"/>
      <c r="N316" s="28"/>
      <c r="O316" s="28"/>
    </row>
    <row r="317" spans="1:15" x14ac:dyDescent="0.25">
      <c r="A317" s="35" t="str">
        <f>TEXT(Tabela2[[#This Row],[DATA]],"MMMM")</f>
        <v>janeiro</v>
      </c>
      <c r="B317" s="25"/>
      <c r="C317" s="39"/>
      <c r="D317" s="26"/>
      <c r="E317" s="26"/>
      <c r="F317" s="26"/>
      <c r="G317" s="20"/>
      <c r="H317" s="26"/>
      <c r="I317" s="20"/>
      <c r="J317" s="26"/>
      <c r="K317" s="26"/>
      <c r="L317" s="27"/>
      <c r="M317" s="26"/>
      <c r="N317" s="28"/>
      <c r="O317" s="28"/>
    </row>
    <row r="318" spans="1:15" x14ac:dyDescent="0.25">
      <c r="A318" s="35" t="str">
        <f>TEXT(Tabela2[[#This Row],[DATA]],"MMMM")</f>
        <v>janeiro</v>
      </c>
      <c r="B318" s="25"/>
      <c r="C318" s="39"/>
      <c r="D318" s="26"/>
      <c r="E318" s="26"/>
      <c r="F318" s="26"/>
      <c r="G318" s="20"/>
      <c r="H318" s="26"/>
      <c r="I318" s="20"/>
      <c r="J318" s="26"/>
      <c r="K318" s="26"/>
      <c r="L318" s="27"/>
      <c r="M318" s="26"/>
      <c r="N318" s="28"/>
      <c r="O318" s="28"/>
    </row>
    <row r="319" spans="1:15" x14ac:dyDescent="0.25">
      <c r="A319" s="35" t="str">
        <f>TEXT(Tabela2[[#This Row],[DATA]],"MMMM")</f>
        <v>janeiro</v>
      </c>
      <c r="B319" s="25"/>
      <c r="C319" s="39"/>
      <c r="D319" s="26"/>
      <c r="E319" s="26"/>
      <c r="F319" s="26"/>
      <c r="G319" s="20"/>
      <c r="H319" s="26"/>
      <c r="I319" s="20"/>
      <c r="J319" s="26"/>
      <c r="K319" s="26"/>
      <c r="L319" s="27"/>
      <c r="M319" s="26"/>
      <c r="N319" s="28"/>
      <c r="O319" s="28"/>
    </row>
    <row r="320" spans="1:15" x14ac:dyDescent="0.25">
      <c r="A320" s="35" t="str">
        <f>TEXT(Tabela2[[#This Row],[DATA]],"MMMM")</f>
        <v>janeiro</v>
      </c>
      <c r="B320" s="25"/>
      <c r="C320" s="39"/>
      <c r="D320" s="26"/>
      <c r="E320" s="26"/>
      <c r="F320" s="26"/>
      <c r="G320" s="20"/>
      <c r="H320" s="26"/>
      <c r="I320" s="20"/>
      <c r="J320" s="26"/>
      <c r="K320" s="26"/>
      <c r="L320" s="27"/>
      <c r="M320" s="26"/>
      <c r="N320" s="28"/>
      <c r="O320" s="28"/>
    </row>
    <row r="321" spans="1:15" x14ac:dyDescent="0.25">
      <c r="A321" s="35" t="str">
        <f>TEXT(Tabela2[[#This Row],[DATA]],"MMMM")</f>
        <v>janeiro</v>
      </c>
      <c r="B321" s="25"/>
      <c r="C321" s="39"/>
      <c r="D321" s="26"/>
      <c r="E321" s="26"/>
      <c r="F321" s="26"/>
      <c r="G321" s="20"/>
      <c r="H321" s="26"/>
      <c r="I321" s="20"/>
      <c r="J321" s="26"/>
      <c r="K321" s="26"/>
      <c r="L321" s="27"/>
      <c r="M321" s="26"/>
      <c r="N321" s="28"/>
      <c r="O321" s="28"/>
    </row>
    <row r="322" spans="1:15" x14ac:dyDescent="0.25">
      <c r="A322" s="35" t="str">
        <f>TEXT(Tabela2[[#This Row],[DATA]],"MMMM")</f>
        <v>janeiro</v>
      </c>
      <c r="B322" s="25"/>
      <c r="C322" s="39"/>
      <c r="D322" s="26"/>
      <c r="E322" s="26"/>
      <c r="F322" s="26"/>
      <c r="G322" s="20"/>
      <c r="H322" s="26"/>
      <c r="I322" s="20"/>
      <c r="J322" s="26"/>
      <c r="K322" s="26"/>
      <c r="L322" s="27"/>
      <c r="M322" s="26"/>
      <c r="N322" s="28"/>
      <c r="O322" s="28"/>
    </row>
    <row r="323" spans="1:15" x14ac:dyDescent="0.25">
      <c r="A323" s="35" t="str">
        <f>TEXT(Tabela2[[#This Row],[DATA]],"MMMM")</f>
        <v>janeiro</v>
      </c>
      <c r="B323" s="25"/>
      <c r="C323" s="39"/>
      <c r="D323" s="26"/>
      <c r="E323" s="26"/>
      <c r="F323" s="26"/>
      <c r="G323" s="20"/>
      <c r="H323" s="26"/>
      <c r="I323" s="20"/>
      <c r="J323" s="26"/>
      <c r="K323" s="26"/>
      <c r="L323" s="27"/>
      <c r="M323" s="26"/>
      <c r="N323" s="28"/>
      <c r="O323" s="28"/>
    </row>
    <row r="324" spans="1:15" x14ac:dyDescent="0.25">
      <c r="A324" s="35" t="str">
        <f>TEXT(Tabela2[[#This Row],[DATA]],"MMMM")</f>
        <v>janeiro</v>
      </c>
      <c r="B324" s="25"/>
      <c r="C324" s="39"/>
      <c r="D324" s="26"/>
      <c r="E324" s="26"/>
      <c r="F324" s="26"/>
      <c r="G324" s="20"/>
      <c r="H324" s="26"/>
      <c r="I324" s="20"/>
      <c r="J324" s="26"/>
      <c r="K324" s="26"/>
      <c r="L324" s="27"/>
      <c r="M324" s="26"/>
      <c r="N324" s="28"/>
      <c r="O324" s="28"/>
    </row>
    <row r="325" spans="1:15" x14ac:dyDescent="0.25">
      <c r="A325" s="35" t="str">
        <f>TEXT(Tabela2[[#This Row],[DATA]],"MMMM")</f>
        <v>janeiro</v>
      </c>
      <c r="B325" s="25"/>
      <c r="C325" s="39"/>
      <c r="D325" s="26"/>
      <c r="E325" s="26"/>
      <c r="F325" s="26"/>
      <c r="G325" s="20"/>
      <c r="H325" s="26"/>
      <c r="I325" s="20"/>
      <c r="J325" s="26"/>
      <c r="K325" s="26"/>
      <c r="L325" s="27"/>
      <c r="M325" s="26"/>
      <c r="N325" s="28"/>
      <c r="O325" s="28"/>
    </row>
    <row r="326" spans="1:15" x14ac:dyDescent="0.25">
      <c r="A326" s="35" t="str">
        <f>TEXT(Tabela2[[#This Row],[DATA]],"MMMM")</f>
        <v>janeiro</v>
      </c>
      <c r="B326" s="25"/>
      <c r="C326" s="39"/>
      <c r="D326" s="26"/>
      <c r="E326" s="26"/>
      <c r="F326" s="26"/>
      <c r="G326" s="20"/>
      <c r="H326" s="26"/>
      <c r="I326" s="20"/>
      <c r="J326" s="26"/>
      <c r="K326" s="26"/>
      <c r="L326" s="27"/>
      <c r="M326" s="26"/>
      <c r="N326" s="28"/>
      <c r="O326" s="28"/>
    </row>
    <row r="327" spans="1:15" x14ac:dyDescent="0.25">
      <c r="A327" s="35" t="str">
        <f>TEXT(Tabela2[[#This Row],[DATA]],"MMMM")</f>
        <v>janeiro</v>
      </c>
      <c r="B327" s="25"/>
      <c r="C327" s="39"/>
      <c r="D327" s="26"/>
      <c r="E327" s="26"/>
      <c r="F327" s="26"/>
      <c r="G327" s="20"/>
      <c r="H327" s="26"/>
      <c r="I327" s="20"/>
      <c r="J327" s="26"/>
      <c r="K327" s="26"/>
      <c r="L327" s="27"/>
      <c r="M327" s="26"/>
      <c r="N327" s="28"/>
      <c r="O327" s="28"/>
    </row>
    <row r="328" spans="1:15" x14ac:dyDescent="0.25">
      <c r="A328" s="35" t="str">
        <f>TEXT(Tabela2[[#This Row],[DATA]],"MMMM")</f>
        <v>janeiro</v>
      </c>
      <c r="B328" s="25"/>
      <c r="C328" s="39"/>
      <c r="D328" s="26"/>
      <c r="E328" s="26"/>
      <c r="F328" s="26"/>
      <c r="G328" s="20"/>
      <c r="H328" s="26"/>
      <c r="I328" s="20"/>
      <c r="J328" s="26"/>
      <c r="K328" s="26"/>
      <c r="L328" s="27"/>
      <c r="M328" s="26"/>
      <c r="N328" s="28"/>
      <c r="O328" s="28"/>
    </row>
    <row r="329" spans="1:15" x14ac:dyDescent="0.25">
      <c r="A329" s="35" t="str">
        <f>TEXT(Tabela2[[#This Row],[DATA]],"MMMM")</f>
        <v>janeiro</v>
      </c>
      <c r="B329" s="25"/>
      <c r="C329" s="39"/>
      <c r="D329" s="26"/>
      <c r="E329" s="26"/>
      <c r="F329" s="26"/>
      <c r="G329" s="20"/>
      <c r="H329" s="26"/>
      <c r="I329" s="20"/>
      <c r="J329" s="26"/>
      <c r="K329" s="26"/>
      <c r="L329" s="27"/>
      <c r="M329" s="26"/>
      <c r="N329" s="28"/>
      <c r="O329" s="28"/>
    </row>
    <row r="330" spans="1:15" x14ac:dyDescent="0.25">
      <c r="A330" s="35" t="str">
        <f>TEXT(Tabela2[[#This Row],[DATA]],"MMMM")</f>
        <v>janeiro</v>
      </c>
      <c r="B330" s="25"/>
      <c r="C330" s="39"/>
      <c r="D330" s="26"/>
      <c r="E330" s="26"/>
      <c r="F330" s="26"/>
      <c r="G330" s="20"/>
      <c r="H330" s="26"/>
      <c r="I330" s="20"/>
      <c r="J330" s="26"/>
      <c r="K330" s="26"/>
      <c r="L330" s="27"/>
      <c r="M330" s="26"/>
      <c r="N330" s="28"/>
      <c r="O330" s="28"/>
    </row>
    <row r="331" spans="1:15" x14ac:dyDescent="0.25">
      <c r="A331" s="35" t="str">
        <f>TEXT(Tabela2[[#This Row],[DATA]],"MMMM")</f>
        <v>janeiro</v>
      </c>
      <c r="B331" s="25"/>
      <c r="C331" s="39"/>
      <c r="D331" s="26"/>
      <c r="E331" s="26"/>
      <c r="F331" s="26"/>
      <c r="G331" s="20"/>
      <c r="H331" s="26"/>
      <c r="I331" s="20"/>
      <c r="J331" s="26"/>
      <c r="K331" s="26"/>
      <c r="L331" s="27"/>
      <c r="M331" s="26"/>
      <c r="N331" s="28"/>
      <c r="O331" s="28"/>
    </row>
    <row r="332" spans="1:15" x14ac:dyDescent="0.25">
      <c r="A332" s="35" t="str">
        <f>TEXT(Tabela2[[#This Row],[DATA]],"MMMM")</f>
        <v>janeiro</v>
      </c>
      <c r="B332" s="25"/>
      <c r="C332" s="39"/>
      <c r="D332" s="26"/>
      <c r="E332" s="26"/>
      <c r="F332" s="26"/>
      <c r="G332" s="20"/>
      <c r="H332" s="26"/>
      <c r="I332" s="20"/>
      <c r="J332" s="26"/>
      <c r="K332" s="26"/>
      <c r="L332" s="27"/>
      <c r="M332" s="26"/>
      <c r="N332" s="28"/>
      <c r="O332" s="28"/>
    </row>
    <row r="333" spans="1:15" x14ac:dyDescent="0.25">
      <c r="A333" s="35" t="str">
        <f>TEXT(Tabela2[[#This Row],[DATA]],"MMMM")</f>
        <v>janeiro</v>
      </c>
      <c r="B333" s="25"/>
      <c r="C333" s="39"/>
      <c r="D333" s="26"/>
      <c r="E333" s="26"/>
      <c r="F333" s="26"/>
      <c r="G333" s="20"/>
      <c r="H333" s="26"/>
      <c r="I333" s="20"/>
      <c r="J333" s="26"/>
      <c r="K333" s="26"/>
      <c r="L333" s="27"/>
      <c r="M333" s="26"/>
      <c r="N333" s="28"/>
      <c r="O333" s="28"/>
    </row>
    <row r="334" spans="1:15" x14ac:dyDescent="0.25">
      <c r="A334" s="35" t="str">
        <f>TEXT(Tabela2[[#This Row],[DATA]],"MMMM")</f>
        <v>janeiro</v>
      </c>
      <c r="B334" s="25"/>
      <c r="C334" s="39"/>
      <c r="D334" s="26"/>
      <c r="E334" s="26"/>
      <c r="F334" s="26"/>
      <c r="G334" s="20"/>
      <c r="H334" s="26"/>
      <c r="I334" s="20"/>
      <c r="J334" s="26"/>
      <c r="K334" s="26"/>
      <c r="L334" s="27"/>
      <c r="M334" s="26"/>
      <c r="N334" s="28"/>
      <c r="O334" s="28"/>
    </row>
    <row r="335" spans="1:15" x14ac:dyDescent="0.25">
      <c r="A335" s="35" t="str">
        <f>TEXT(Tabela2[[#This Row],[DATA]],"MMMM")</f>
        <v>janeiro</v>
      </c>
      <c r="B335" s="25"/>
      <c r="C335" s="39"/>
      <c r="D335" s="26"/>
      <c r="E335" s="26"/>
      <c r="F335" s="26"/>
      <c r="G335" s="20"/>
      <c r="H335" s="26"/>
      <c r="I335" s="20"/>
      <c r="J335" s="26"/>
      <c r="K335" s="26"/>
      <c r="L335" s="27"/>
      <c r="M335" s="26"/>
      <c r="N335" s="28"/>
      <c r="O335" s="28"/>
    </row>
    <row r="336" spans="1:15" x14ac:dyDescent="0.25">
      <c r="A336" s="35" t="str">
        <f>TEXT(Tabela2[[#This Row],[DATA]],"MMMM")</f>
        <v>janeiro</v>
      </c>
      <c r="B336" s="25"/>
      <c r="C336" s="39"/>
      <c r="D336" s="26"/>
      <c r="E336" s="26"/>
      <c r="F336" s="26"/>
      <c r="G336" s="20"/>
      <c r="H336" s="26"/>
      <c r="I336" s="20"/>
      <c r="J336" s="26"/>
      <c r="K336" s="26"/>
      <c r="L336" s="27"/>
      <c r="M336" s="26"/>
      <c r="N336" s="28"/>
      <c r="O336" s="28"/>
    </row>
    <row r="337" spans="1:15" x14ac:dyDescent="0.25">
      <c r="A337" s="35" t="str">
        <f>TEXT(Tabela2[[#This Row],[DATA]],"MMMM")</f>
        <v>janeiro</v>
      </c>
      <c r="B337" s="25"/>
      <c r="C337" s="39"/>
      <c r="D337" s="26"/>
      <c r="E337" s="26"/>
      <c r="F337" s="26"/>
      <c r="G337" s="20"/>
      <c r="H337" s="26"/>
      <c r="I337" s="20"/>
      <c r="J337" s="26"/>
      <c r="K337" s="26"/>
      <c r="L337" s="27"/>
      <c r="M337" s="26"/>
      <c r="N337" s="28"/>
      <c r="O337" s="28"/>
    </row>
    <row r="338" spans="1:15" x14ac:dyDescent="0.25">
      <c r="A338" s="35" t="str">
        <f>TEXT(Tabela2[[#This Row],[DATA]],"MMMM")</f>
        <v>janeiro</v>
      </c>
      <c r="B338" s="25"/>
      <c r="C338" s="39"/>
      <c r="D338" s="26"/>
      <c r="E338" s="26"/>
      <c r="F338" s="26"/>
      <c r="G338" s="20"/>
      <c r="H338" s="26"/>
      <c r="I338" s="20"/>
      <c r="J338" s="26"/>
      <c r="K338" s="26"/>
      <c r="L338" s="27"/>
      <c r="M338" s="26"/>
      <c r="N338" s="28"/>
      <c r="O338" s="28"/>
    </row>
    <row r="339" spans="1:15" x14ac:dyDescent="0.25">
      <c r="A339" s="35" t="str">
        <f>TEXT(Tabela2[[#This Row],[DATA]],"MMMM")</f>
        <v>janeiro</v>
      </c>
      <c r="B339" s="25"/>
      <c r="C339" s="39"/>
      <c r="D339" s="26"/>
      <c r="E339" s="26"/>
      <c r="F339" s="26"/>
      <c r="G339" s="20"/>
      <c r="H339" s="26"/>
      <c r="I339" s="20"/>
      <c r="J339" s="26"/>
      <c r="K339" s="26"/>
      <c r="L339" s="27"/>
      <c r="M339" s="26"/>
      <c r="N339" s="28"/>
      <c r="O339" s="28"/>
    </row>
    <row r="340" spans="1:15" x14ac:dyDescent="0.25">
      <c r="A340" s="35" t="str">
        <f>TEXT(Tabela2[[#This Row],[DATA]],"MMMM")</f>
        <v>janeiro</v>
      </c>
      <c r="B340" s="25"/>
      <c r="C340" s="39"/>
      <c r="D340" s="26"/>
      <c r="E340" s="26"/>
      <c r="F340" s="26"/>
      <c r="G340" s="20"/>
      <c r="H340" s="26"/>
      <c r="I340" s="20"/>
      <c r="J340" s="26"/>
      <c r="K340" s="26"/>
      <c r="L340" s="27"/>
      <c r="M340" s="26"/>
      <c r="N340" s="28"/>
      <c r="O340" s="28"/>
    </row>
    <row r="341" spans="1:15" x14ac:dyDescent="0.25">
      <c r="A341" s="35" t="str">
        <f>TEXT(Tabela2[[#This Row],[DATA]],"MMMM")</f>
        <v>janeiro</v>
      </c>
      <c r="B341" s="25"/>
      <c r="C341" s="39"/>
      <c r="D341" s="26"/>
      <c r="E341" s="26"/>
      <c r="F341" s="26"/>
      <c r="G341" s="20"/>
      <c r="H341" s="26"/>
      <c r="I341" s="20"/>
      <c r="J341" s="26"/>
      <c r="K341" s="26"/>
      <c r="L341" s="27"/>
      <c r="M341" s="26"/>
      <c r="N341" s="28"/>
      <c r="O341" s="28"/>
    </row>
    <row r="342" spans="1:15" x14ac:dyDescent="0.25">
      <c r="A342" s="35" t="str">
        <f>TEXT(Tabela2[[#This Row],[DATA]],"MMMM")</f>
        <v>janeiro</v>
      </c>
      <c r="B342" s="25"/>
      <c r="C342" s="39"/>
      <c r="D342" s="26"/>
      <c r="E342" s="26"/>
      <c r="F342" s="26"/>
      <c r="G342" s="20"/>
      <c r="H342" s="26"/>
      <c r="I342" s="20"/>
      <c r="J342" s="26"/>
      <c r="K342" s="26"/>
      <c r="L342" s="27"/>
      <c r="M342" s="26"/>
      <c r="N342" s="28"/>
      <c r="O342" s="28"/>
    </row>
    <row r="343" spans="1:15" x14ac:dyDescent="0.25">
      <c r="A343" s="35" t="str">
        <f>TEXT(Tabela2[[#This Row],[DATA]],"MMMM")</f>
        <v>janeiro</v>
      </c>
      <c r="B343" s="25"/>
      <c r="C343" s="39"/>
      <c r="D343" s="26"/>
      <c r="E343" s="26"/>
      <c r="F343" s="26"/>
      <c r="G343" s="20"/>
      <c r="H343" s="26"/>
      <c r="I343" s="20"/>
      <c r="J343" s="26"/>
      <c r="K343" s="26"/>
      <c r="L343" s="27"/>
      <c r="M343" s="26"/>
      <c r="N343" s="28"/>
      <c r="O343" s="28"/>
    </row>
    <row r="344" spans="1:15" x14ac:dyDescent="0.25">
      <c r="A344" s="35" t="str">
        <f>TEXT(Tabela2[[#This Row],[DATA]],"MMMM")</f>
        <v>janeiro</v>
      </c>
      <c r="B344" s="25"/>
      <c r="C344" s="39"/>
      <c r="D344" s="26"/>
      <c r="E344" s="26"/>
      <c r="F344" s="26"/>
      <c r="G344" s="20"/>
      <c r="H344" s="26"/>
      <c r="I344" s="20"/>
      <c r="J344" s="26"/>
      <c r="K344" s="26"/>
      <c r="L344" s="27"/>
      <c r="M344" s="26"/>
      <c r="N344" s="28"/>
      <c r="O344" s="28"/>
    </row>
    <row r="345" spans="1:15" x14ac:dyDescent="0.25">
      <c r="A345" s="35" t="str">
        <f>TEXT(Tabela2[[#This Row],[DATA]],"MMMM")</f>
        <v>janeiro</v>
      </c>
      <c r="B345" s="25"/>
      <c r="C345" s="39"/>
      <c r="D345" s="26"/>
      <c r="E345" s="26"/>
      <c r="F345" s="26"/>
      <c r="G345" s="20"/>
      <c r="H345" s="26"/>
      <c r="I345" s="20"/>
      <c r="J345" s="26"/>
      <c r="K345" s="26"/>
      <c r="L345" s="27"/>
      <c r="M345" s="26"/>
      <c r="N345" s="28"/>
      <c r="O345" s="28"/>
    </row>
    <row r="346" spans="1:15" x14ac:dyDescent="0.25">
      <c r="A346" s="35" t="str">
        <f>TEXT(Tabela2[[#This Row],[DATA]],"MMMM")</f>
        <v>janeiro</v>
      </c>
      <c r="B346" s="25"/>
      <c r="C346" s="39"/>
      <c r="D346" s="26"/>
      <c r="E346" s="26"/>
      <c r="F346" s="26"/>
      <c r="G346" s="20"/>
      <c r="H346" s="26"/>
      <c r="I346" s="20"/>
      <c r="J346" s="26"/>
      <c r="K346" s="26"/>
      <c r="L346" s="27"/>
      <c r="M346" s="26"/>
      <c r="N346" s="28"/>
      <c r="O346" s="28"/>
    </row>
    <row r="347" spans="1:15" x14ac:dyDescent="0.25">
      <c r="A347" s="35" t="str">
        <f>TEXT(Tabela2[[#This Row],[DATA]],"MMMM")</f>
        <v>janeiro</v>
      </c>
      <c r="B347" s="25"/>
      <c r="C347" s="39"/>
      <c r="D347" s="26"/>
      <c r="E347" s="26"/>
      <c r="F347" s="26"/>
      <c r="G347" s="20"/>
      <c r="H347" s="26"/>
      <c r="I347" s="20"/>
      <c r="J347" s="26"/>
      <c r="K347" s="26"/>
      <c r="L347" s="27"/>
      <c r="M347" s="26"/>
      <c r="N347" s="28"/>
      <c r="O347" s="28"/>
    </row>
    <row r="348" spans="1:15" x14ac:dyDescent="0.25">
      <c r="A348" s="35" t="str">
        <f>TEXT(Tabela2[[#This Row],[DATA]],"MMMM")</f>
        <v>janeiro</v>
      </c>
      <c r="B348" s="25"/>
      <c r="C348" s="39"/>
      <c r="D348" s="26"/>
      <c r="E348" s="26"/>
      <c r="F348" s="26"/>
      <c r="G348" s="20"/>
      <c r="H348" s="26"/>
      <c r="I348" s="20"/>
      <c r="J348" s="26"/>
      <c r="K348" s="26"/>
      <c r="L348" s="27"/>
      <c r="M348" s="26"/>
      <c r="N348" s="28"/>
      <c r="O348" s="28"/>
    </row>
    <row r="349" spans="1:15" x14ac:dyDescent="0.25">
      <c r="A349" s="35" t="str">
        <f>TEXT(Tabela2[[#This Row],[DATA]],"MMMM")</f>
        <v>janeiro</v>
      </c>
      <c r="B349" s="25"/>
      <c r="C349" s="39"/>
      <c r="D349" s="26"/>
      <c r="E349" s="26"/>
      <c r="F349" s="26"/>
      <c r="G349" s="20"/>
      <c r="H349" s="26"/>
      <c r="I349" s="20"/>
      <c r="J349" s="26"/>
      <c r="K349" s="26"/>
      <c r="L349" s="27"/>
      <c r="M349" s="26"/>
      <c r="N349" s="28"/>
      <c r="O349" s="28"/>
    </row>
    <row r="350" spans="1:15" x14ac:dyDescent="0.25">
      <c r="A350" s="35" t="str">
        <f>TEXT(Tabela2[[#This Row],[DATA]],"MMMM")</f>
        <v>janeiro</v>
      </c>
      <c r="B350" s="25"/>
      <c r="C350" s="39"/>
      <c r="D350" s="26"/>
      <c r="E350" s="26"/>
      <c r="F350" s="26"/>
      <c r="G350" s="20"/>
      <c r="H350" s="26"/>
      <c r="I350" s="20"/>
      <c r="J350" s="26"/>
      <c r="K350" s="26"/>
      <c r="L350" s="27"/>
      <c r="M350" s="26"/>
      <c r="N350" s="28"/>
      <c r="O350" s="28"/>
    </row>
    <row r="351" spans="1:15" x14ac:dyDescent="0.25">
      <c r="A351" s="35" t="str">
        <f>TEXT(Tabela2[[#This Row],[DATA]],"MMMM")</f>
        <v>janeiro</v>
      </c>
      <c r="B351" s="25"/>
      <c r="C351" s="39"/>
      <c r="D351" s="26"/>
      <c r="E351" s="26"/>
      <c r="F351" s="26"/>
      <c r="G351" s="20"/>
      <c r="H351" s="26"/>
      <c r="I351" s="20"/>
      <c r="J351" s="26"/>
      <c r="K351" s="26"/>
      <c r="L351" s="27"/>
      <c r="M351" s="26"/>
      <c r="N351" s="28"/>
      <c r="O351" s="28"/>
    </row>
    <row r="352" spans="1:15" x14ac:dyDescent="0.25">
      <c r="A352" s="35" t="str">
        <f>TEXT(Tabela2[[#This Row],[DATA]],"MMMM")</f>
        <v>janeiro</v>
      </c>
      <c r="B352" s="25"/>
      <c r="C352" s="39"/>
      <c r="D352" s="26"/>
      <c r="E352" s="26"/>
      <c r="F352" s="26"/>
      <c r="G352" s="20"/>
      <c r="H352" s="26"/>
      <c r="I352" s="20"/>
      <c r="J352" s="26"/>
      <c r="K352" s="26"/>
      <c r="L352" s="27"/>
      <c r="M352" s="26"/>
      <c r="N352" s="28"/>
      <c r="O352" s="28"/>
    </row>
    <row r="353" spans="1:15" x14ac:dyDescent="0.25">
      <c r="A353" s="35" t="str">
        <f>TEXT(Tabela2[[#This Row],[DATA]],"MMMM")</f>
        <v>janeiro</v>
      </c>
      <c r="B353" s="25"/>
      <c r="C353" s="39"/>
      <c r="D353" s="26"/>
      <c r="E353" s="26"/>
      <c r="F353" s="26"/>
      <c r="G353" s="20"/>
      <c r="H353" s="26"/>
      <c r="I353" s="20"/>
      <c r="J353" s="26"/>
      <c r="K353" s="26"/>
      <c r="L353" s="27"/>
      <c r="M353" s="26"/>
      <c r="N353" s="28"/>
      <c r="O353" s="28"/>
    </row>
    <row r="354" spans="1:15" x14ac:dyDescent="0.25">
      <c r="A354" s="35" t="str">
        <f>TEXT(Tabela2[[#This Row],[DATA]],"MMMM")</f>
        <v>janeiro</v>
      </c>
      <c r="B354" s="25"/>
      <c r="C354" s="39"/>
      <c r="D354" s="26"/>
      <c r="E354" s="26"/>
      <c r="F354" s="26"/>
      <c r="G354" s="20"/>
      <c r="H354" s="26"/>
      <c r="I354" s="20"/>
      <c r="J354" s="26"/>
      <c r="K354" s="26"/>
      <c r="L354" s="27"/>
      <c r="M354" s="26"/>
      <c r="N354" s="28"/>
      <c r="O354" s="28"/>
    </row>
    <row r="355" spans="1:15" x14ac:dyDescent="0.25">
      <c r="A355" s="35" t="str">
        <f>TEXT(Tabela2[[#This Row],[DATA]],"MMMM")</f>
        <v>janeiro</v>
      </c>
      <c r="B355" s="25"/>
      <c r="C355" s="39"/>
      <c r="D355" s="26"/>
      <c r="E355" s="26"/>
      <c r="F355" s="26"/>
      <c r="G355" s="20"/>
      <c r="H355" s="26"/>
      <c r="I355" s="20"/>
      <c r="J355" s="26"/>
      <c r="K355" s="26"/>
      <c r="L355" s="27"/>
      <c r="M355" s="26"/>
      <c r="N355" s="28"/>
      <c r="O355" s="28"/>
    </row>
    <row r="356" spans="1:15" x14ac:dyDescent="0.25">
      <c r="A356" s="35" t="str">
        <f>TEXT(Tabela2[[#This Row],[DATA]],"MMMM")</f>
        <v>janeiro</v>
      </c>
      <c r="B356" s="25"/>
      <c r="C356" s="39"/>
      <c r="D356" s="26"/>
      <c r="E356" s="26"/>
      <c r="F356" s="26"/>
      <c r="G356" s="20"/>
      <c r="H356" s="26"/>
      <c r="I356" s="20"/>
      <c r="J356" s="26"/>
      <c r="K356" s="26"/>
      <c r="L356" s="27"/>
      <c r="M356" s="26"/>
      <c r="N356" s="28"/>
      <c r="O356" s="28"/>
    </row>
    <row r="357" spans="1:15" x14ac:dyDescent="0.25">
      <c r="A357" s="35" t="str">
        <f>TEXT(Tabela2[[#This Row],[DATA]],"MMMM")</f>
        <v>janeiro</v>
      </c>
      <c r="B357" s="25"/>
      <c r="C357" s="39"/>
      <c r="D357" s="26"/>
      <c r="E357" s="26"/>
      <c r="F357" s="26"/>
      <c r="G357" s="20"/>
      <c r="H357" s="26"/>
      <c r="I357" s="20"/>
      <c r="J357" s="26"/>
      <c r="K357" s="26"/>
      <c r="L357" s="27"/>
      <c r="M357" s="26"/>
      <c r="N357" s="28"/>
      <c r="O357" s="28"/>
    </row>
    <row r="358" spans="1:15" x14ac:dyDescent="0.25">
      <c r="A358" s="35" t="str">
        <f>TEXT(Tabela2[[#This Row],[DATA]],"MMMM")</f>
        <v>janeiro</v>
      </c>
      <c r="B358" s="25"/>
      <c r="C358" s="39"/>
      <c r="D358" s="26"/>
      <c r="E358" s="26"/>
      <c r="F358" s="26"/>
      <c r="G358" s="20"/>
      <c r="H358" s="26"/>
      <c r="I358" s="20"/>
      <c r="J358" s="26"/>
      <c r="K358" s="26"/>
      <c r="L358" s="27"/>
      <c r="M358" s="26"/>
      <c r="N358" s="28"/>
      <c r="O358" s="28"/>
    </row>
    <row r="359" spans="1:15" x14ac:dyDescent="0.25">
      <c r="A359" s="35" t="str">
        <f>TEXT(Tabela2[[#This Row],[DATA]],"MMMM")</f>
        <v>janeiro</v>
      </c>
      <c r="B359" s="25"/>
      <c r="C359" s="39"/>
      <c r="D359" s="26"/>
      <c r="E359" s="26"/>
      <c r="F359" s="26"/>
      <c r="G359" s="20"/>
      <c r="H359" s="26"/>
      <c r="I359" s="20"/>
      <c r="J359" s="26"/>
      <c r="K359" s="26"/>
      <c r="L359" s="27"/>
      <c r="M359" s="26"/>
      <c r="N359" s="28"/>
      <c r="O359" s="28"/>
    </row>
    <row r="360" spans="1:15" x14ac:dyDescent="0.25">
      <c r="A360" s="35" t="str">
        <f>TEXT(Tabela2[[#This Row],[DATA]],"MMMM")</f>
        <v>janeiro</v>
      </c>
      <c r="B360" s="25"/>
      <c r="C360" s="39"/>
      <c r="D360" s="26"/>
      <c r="E360" s="26"/>
      <c r="F360" s="26"/>
      <c r="G360" s="20"/>
      <c r="H360" s="26"/>
      <c r="I360" s="20"/>
      <c r="J360" s="26"/>
      <c r="K360" s="26"/>
      <c r="L360" s="27"/>
      <c r="M360" s="26"/>
      <c r="N360" s="28"/>
      <c r="O360" s="28"/>
    </row>
    <row r="361" spans="1:15" x14ac:dyDescent="0.25">
      <c r="A361" s="35" t="str">
        <f>TEXT(Tabela2[[#This Row],[DATA]],"MMMM")</f>
        <v>janeiro</v>
      </c>
      <c r="B361" s="25"/>
      <c r="C361" s="39"/>
      <c r="D361" s="26"/>
      <c r="E361" s="26"/>
      <c r="F361" s="26"/>
      <c r="G361" s="20"/>
      <c r="H361" s="26"/>
      <c r="I361" s="20"/>
      <c r="J361" s="26"/>
      <c r="K361" s="26"/>
      <c r="L361" s="27"/>
      <c r="M361" s="26"/>
      <c r="N361" s="28"/>
      <c r="O361" s="28"/>
    </row>
    <row r="362" spans="1:15" x14ac:dyDescent="0.25">
      <c r="A362" s="35" t="str">
        <f>TEXT(Tabela2[[#This Row],[DATA]],"MMMM")</f>
        <v>janeiro</v>
      </c>
      <c r="B362" s="25"/>
      <c r="C362" s="39"/>
      <c r="D362" s="26"/>
      <c r="E362" s="26"/>
      <c r="F362" s="26"/>
      <c r="G362" s="20"/>
      <c r="H362" s="26"/>
      <c r="I362" s="20"/>
      <c r="J362" s="26"/>
      <c r="K362" s="26"/>
      <c r="L362" s="27"/>
      <c r="M362" s="26"/>
      <c r="N362" s="28"/>
      <c r="O362" s="28"/>
    </row>
    <row r="363" spans="1:15" x14ac:dyDescent="0.25">
      <c r="A363" s="35" t="str">
        <f>TEXT(Tabela2[[#This Row],[DATA]],"MMMM")</f>
        <v>janeiro</v>
      </c>
      <c r="B363" s="25"/>
      <c r="C363" s="39"/>
      <c r="D363" s="26"/>
      <c r="E363" s="26"/>
      <c r="F363" s="26"/>
      <c r="G363" s="20"/>
      <c r="H363" s="26"/>
      <c r="I363" s="20"/>
      <c r="J363" s="26"/>
      <c r="K363" s="26"/>
      <c r="L363" s="27"/>
      <c r="M363" s="26"/>
      <c r="N363" s="28"/>
      <c r="O363" s="28"/>
    </row>
    <row r="364" spans="1:15" x14ac:dyDescent="0.25">
      <c r="A364" s="35" t="str">
        <f>TEXT(Tabela2[[#This Row],[DATA]],"MMMM")</f>
        <v>janeiro</v>
      </c>
      <c r="B364" s="25"/>
      <c r="C364" s="39"/>
      <c r="D364" s="26"/>
      <c r="E364" s="26"/>
      <c r="F364" s="26"/>
      <c r="G364" s="20"/>
      <c r="H364" s="26"/>
      <c r="I364" s="20"/>
      <c r="J364" s="26"/>
      <c r="K364" s="26"/>
      <c r="L364" s="27"/>
      <c r="M364" s="26"/>
      <c r="N364" s="28"/>
      <c r="O364" s="28"/>
    </row>
    <row r="365" spans="1:15" x14ac:dyDescent="0.25">
      <c r="A365" s="35" t="str">
        <f>TEXT(Tabela2[[#This Row],[DATA]],"MMMM")</f>
        <v>janeiro</v>
      </c>
      <c r="B365" s="25"/>
      <c r="C365" s="39"/>
      <c r="D365" s="26"/>
      <c r="E365" s="26"/>
      <c r="F365" s="26"/>
      <c r="G365" s="20"/>
      <c r="H365" s="26"/>
      <c r="I365" s="20"/>
      <c r="J365" s="26"/>
      <c r="K365" s="26"/>
      <c r="L365" s="27"/>
      <c r="M365" s="26"/>
      <c r="N365" s="28"/>
      <c r="O365" s="28"/>
    </row>
    <row r="366" spans="1:15" x14ac:dyDescent="0.25">
      <c r="A366" s="35" t="str">
        <f>TEXT(Tabela2[[#This Row],[DATA]],"MMMM")</f>
        <v>janeiro</v>
      </c>
      <c r="B366" s="25"/>
      <c r="C366" s="39"/>
      <c r="D366" s="26"/>
      <c r="E366" s="26"/>
      <c r="F366" s="26"/>
      <c r="G366" s="20"/>
      <c r="H366" s="26"/>
      <c r="I366" s="20"/>
      <c r="J366" s="26"/>
      <c r="K366" s="26"/>
      <c r="L366" s="27"/>
      <c r="M366" s="26"/>
      <c r="N366" s="28"/>
      <c r="O366" s="28"/>
    </row>
    <row r="367" spans="1:15" x14ac:dyDescent="0.25">
      <c r="A367" s="35" t="str">
        <f>TEXT(Tabela2[[#This Row],[DATA]],"MMMM")</f>
        <v>janeiro</v>
      </c>
      <c r="B367" s="25"/>
      <c r="C367" s="39"/>
      <c r="D367" s="26"/>
      <c r="E367" s="26"/>
      <c r="F367" s="26"/>
      <c r="G367" s="20"/>
      <c r="H367" s="26"/>
      <c r="I367" s="20"/>
      <c r="J367" s="26"/>
      <c r="K367" s="26"/>
      <c r="L367" s="27"/>
      <c r="M367" s="26"/>
      <c r="N367" s="28"/>
      <c r="O367" s="28"/>
    </row>
    <row r="368" spans="1:15" x14ac:dyDescent="0.25">
      <c r="A368" s="35" t="str">
        <f>TEXT(Tabela2[[#This Row],[DATA]],"MMMM")</f>
        <v>janeiro</v>
      </c>
      <c r="B368" s="25"/>
      <c r="C368" s="39"/>
      <c r="D368" s="26"/>
      <c r="E368" s="26"/>
      <c r="F368" s="26"/>
      <c r="G368" s="20"/>
      <c r="H368" s="26"/>
      <c r="I368" s="20"/>
      <c r="J368" s="26"/>
      <c r="K368" s="26"/>
      <c r="L368" s="27"/>
      <c r="M368" s="26"/>
      <c r="N368" s="28"/>
      <c r="O368" s="28"/>
    </row>
    <row r="369" spans="1:15" x14ac:dyDescent="0.25">
      <c r="A369" s="35" t="str">
        <f>TEXT(Tabela2[[#This Row],[DATA]],"MMMM")</f>
        <v>janeiro</v>
      </c>
      <c r="B369" s="25"/>
      <c r="C369" s="39"/>
      <c r="D369" s="26"/>
      <c r="E369" s="26"/>
      <c r="F369" s="26"/>
      <c r="G369" s="20"/>
      <c r="H369" s="26"/>
      <c r="I369" s="20"/>
      <c r="J369" s="26"/>
      <c r="K369" s="26"/>
      <c r="L369" s="27"/>
      <c r="M369" s="26"/>
      <c r="N369" s="28"/>
      <c r="O369" s="28"/>
    </row>
    <row r="370" spans="1:15" x14ac:dyDescent="0.25">
      <c r="A370" s="35" t="str">
        <f>TEXT(Tabela2[[#This Row],[DATA]],"MMMM")</f>
        <v>janeiro</v>
      </c>
      <c r="B370" s="25"/>
      <c r="C370" s="39"/>
      <c r="D370" s="26"/>
      <c r="E370" s="26"/>
      <c r="F370" s="26"/>
      <c r="G370" s="17"/>
      <c r="H370" s="26"/>
      <c r="I370" s="17"/>
      <c r="J370" s="26"/>
      <c r="K370" s="26"/>
      <c r="L370" s="29"/>
      <c r="M370" s="26"/>
      <c r="N370" s="28"/>
      <c r="O370" s="28"/>
    </row>
  </sheetData>
  <mergeCells count="1">
    <mergeCell ref="A1:O1"/>
  </mergeCells>
  <conditionalFormatting sqref="K371:K1048576 L3:L370">
    <cfRule type="cellIs" dxfId="64" priority="5" operator="greaterThan">
      <formula>0</formula>
    </cfRule>
  </conditionalFormatting>
  <conditionalFormatting sqref="M3 L371:L1048576 M5:M370">
    <cfRule type="cellIs" dxfId="63" priority="4" operator="greaterThan">
      <formula>0</formula>
    </cfRule>
  </conditionalFormatting>
  <conditionalFormatting sqref="M4">
    <cfRule type="cellIs" dxfId="61" priority="2" operator="greaterThan">
      <formula>0</formula>
    </cfRule>
  </conditionalFormatting>
  <conditionalFormatting sqref="N3:N370">
    <cfRule type="cellIs" dxfId="60" priority="1" operator="greaterThan">
      <formula>0</formula>
    </cfRule>
  </conditionalFormatting>
  <dataValidations count="3">
    <dataValidation type="list" allowBlank="1" showInputMessage="1" showErrorMessage="1" sqref="I371:I1048576 J3:J370">
      <formula1>"DINHEIRO,PIX,CRÉDITO,DÉBITO"</formula1>
    </dataValidation>
    <dataValidation type="list" allowBlank="1" showInputMessage="1" showErrorMessage="1" sqref="F371:F1048576 G3:G370">
      <formula1>"CABELOS,UNHAS"</formula1>
    </dataValidation>
    <dataValidation type="list" allowBlank="1" showInputMessage="1" showErrorMessage="1" sqref="G371:G1048576 H5:H370">
      <formula1>"ESCOVA,CORTE,TRATAMENTO,PROGRESSIVA,BOTOX,SELAGEM,MECHAS,PENTEADOS,MAQUIAGEM,SOBRANCELHA,PÉ E MÃO,POSTIÇA,BLINDAGEM,ALONGAMENTO,MANUTENÇÃO,SPA DOS PÉS"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'PRECIFICAÇÃO SERVIÇOS'!$A$3:$A$18</xm:f>
          </x14:formula1>
          <xm:sqref>H3:H4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="85" zoomScaleNormal="85" workbookViewId="0">
      <selection activeCell="C29" sqref="C29"/>
    </sheetView>
  </sheetViews>
  <sheetFormatPr defaultRowHeight="15" x14ac:dyDescent="0.25"/>
  <cols>
    <col min="1" max="1" width="17.140625" customWidth="1"/>
    <col min="2" max="2" width="15.140625" bestFit="1" customWidth="1"/>
    <col min="3" max="3" width="18" bestFit="1" customWidth="1"/>
    <col min="4" max="4" width="21.140625" bestFit="1" customWidth="1"/>
  </cols>
  <sheetData>
    <row r="1" spans="1:5" ht="33.75" x14ac:dyDescent="0.5">
      <c r="A1" s="7" t="s">
        <v>14</v>
      </c>
      <c r="B1" s="7"/>
      <c r="C1" s="7"/>
      <c r="D1" s="7"/>
      <c r="E1" s="7"/>
    </row>
    <row r="2" spans="1:5" ht="21" x14ac:dyDescent="0.25">
      <c r="A2" s="6" t="s">
        <v>0</v>
      </c>
      <c r="B2" s="6" t="s">
        <v>10</v>
      </c>
      <c r="C2" s="6" t="s">
        <v>11</v>
      </c>
      <c r="D2" s="6" t="s">
        <v>12</v>
      </c>
      <c r="E2" s="6" t="s">
        <v>13</v>
      </c>
    </row>
    <row r="3" spans="1:5" x14ac:dyDescent="0.25">
      <c r="A3" s="8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="85" zoomScaleNormal="85" workbookViewId="0">
      <selection activeCell="C6" sqref="C6"/>
    </sheetView>
  </sheetViews>
  <sheetFormatPr defaultRowHeight="15" x14ac:dyDescent="0.25"/>
  <cols>
    <col min="1" max="1" width="17.140625" customWidth="1"/>
    <col min="2" max="2" width="19.85546875" bestFit="1" customWidth="1"/>
    <col min="3" max="3" width="18" bestFit="1" customWidth="1"/>
  </cols>
  <sheetData>
    <row r="1" spans="1:3" ht="33.75" x14ac:dyDescent="0.5">
      <c r="A1" s="9" t="s">
        <v>16</v>
      </c>
      <c r="B1" s="9"/>
      <c r="C1" s="9"/>
    </row>
    <row r="2" spans="1:3" ht="21" x14ac:dyDescent="0.25">
      <c r="A2" s="6" t="s">
        <v>0</v>
      </c>
      <c r="B2" s="6" t="s">
        <v>17</v>
      </c>
      <c r="C2" s="6" t="s">
        <v>18</v>
      </c>
    </row>
    <row r="3" spans="1:3" x14ac:dyDescent="0.25">
      <c r="A3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24" sqref="F24"/>
    </sheetView>
  </sheetViews>
  <sheetFormatPr defaultRowHeight="15" x14ac:dyDescent="0.25"/>
  <cols>
    <col min="1" max="1" width="18.5703125" bestFit="1" customWidth="1"/>
    <col min="2" max="2" width="14.42578125" bestFit="1" customWidth="1"/>
  </cols>
  <sheetData>
    <row r="1" spans="1:2" ht="33.75" x14ac:dyDescent="0.5">
      <c r="A1" s="7" t="s">
        <v>20</v>
      </c>
      <c r="B1" s="7"/>
    </row>
    <row r="2" spans="1:2" ht="21" x14ac:dyDescent="0.25">
      <c r="A2" s="6" t="s">
        <v>17</v>
      </c>
      <c r="B2" s="6" t="s">
        <v>19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Normal="100" workbookViewId="0">
      <selection activeCell="J23" sqref="J23"/>
    </sheetView>
  </sheetViews>
  <sheetFormatPr defaultRowHeight="15" x14ac:dyDescent="0.25"/>
  <cols>
    <col min="1" max="1" width="25.42578125" customWidth="1"/>
    <col min="2" max="2" width="21.85546875" customWidth="1"/>
  </cols>
  <sheetData>
    <row r="1" spans="1:2" ht="33.75" x14ac:dyDescent="0.5">
      <c r="A1" s="7" t="s">
        <v>60</v>
      </c>
      <c r="B1" s="7"/>
    </row>
    <row r="2" spans="1:2" ht="21" x14ac:dyDescent="0.25">
      <c r="A2" s="6" t="s">
        <v>11</v>
      </c>
      <c r="B2" s="6" t="s">
        <v>18</v>
      </c>
    </row>
    <row r="3" spans="1:2" ht="15.75" x14ac:dyDescent="0.25">
      <c r="A3" s="34" t="s">
        <v>50</v>
      </c>
      <c r="B3" s="33"/>
    </row>
    <row r="4" spans="1:2" ht="15.75" x14ac:dyDescent="0.25">
      <c r="A4" s="34" t="s">
        <v>49</v>
      </c>
      <c r="B4" s="33"/>
    </row>
    <row r="5" spans="1:2" ht="15.75" x14ac:dyDescent="0.25">
      <c r="A5" s="34" t="s">
        <v>41</v>
      </c>
      <c r="B5" s="33"/>
    </row>
    <row r="6" spans="1:2" ht="15.75" x14ac:dyDescent="0.25">
      <c r="A6" s="34" t="s">
        <v>38</v>
      </c>
      <c r="B6" s="33"/>
    </row>
    <row r="7" spans="1:2" ht="15.75" x14ac:dyDescent="0.25">
      <c r="A7" s="34" t="s">
        <v>37</v>
      </c>
      <c r="B7" s="33"/>
    </row>
    <row r="8" spans="1:2" ht="15.75" x14ac:dyDescent="0.25">
      <c r="A8" s="34" t="s">
        <v>51</v>
      </c>
      <c r="B8" s="33"/>
    </row>
    <row r="9" spans="1:2" ht="15.75" x14ac:dyDescent="0.25">
      <c r="A9" s="34" t="s">
        <v>45</v>
      </c>
      <c r="B9" s="33"/>
    </row>
    <row r="10" spans="1:2" ht="15.75" x14ac:dyDescent="0.25">
      <c r="A10" s="34" t="s">
        <v>43</v>
      </c>
      <c r="B10" s="33"/>
    </row>
    <row r="11" spans="1:2" ht="15.75" x14ac:dyDescent="0.25">
      <c r="A11" s="34" t="s">
        <v>47</v>
      </c>
      <c r="B11" s="33"/>
    </row>
    <row r="12" spans="1:2" ht="15.75" x14ac:dyDescent="0.25">
      <c r="A12" s="34" t="s">
        <v>44</v>
      </c>
      <c r="B12" s="33"/>
    </row>
    <row r="13" spans="1:2" ht="15.75" x14ac:dyDescent="0.25">
      <c r="A13" s="34" t="s">
        <v>48</v>
      </c>
      <c r="B13" s="33"/>
    </row>
    <row r="14" spans="1:2" ht="15.75" x14ac:dyDescent="0.25">
      <c r="A14" s="34" t="s">
        <v>40</v>
      </c>
      <c r="B14" s="33"/>
    </row>
    <row r="15" spans="1:2" ht="15.75" x14ac:dyDescent="0.25">
      <c r="A15" s="34" t="s">
        <v>42</v>
      </c>
      <c r="B15" s="33"/>
    </row>
    <row r="16" spans="1:2" ht="15.75" x14ac:dyDescent="0.25">
      <c r="A16" s="34" t="s">
        <v>46</v>
      </c>
      <c r="B16" s="33"/>
    </row>
    <row r="17" spans="1:2" ht="15.75" x14ac:dyDescent="0.25">
      <c r="A17" s="34" t="s">
        <v>52</v>
      </c>
      <c r="B17" s="33"/>
    </row>
    <row r="18" spans="1:2" ht="15.75" x14ac:dyDescent="0.25">
      <c r="A18" s="34" t="s">
        <v>39</v>
      </c>
      <c r="B18" s="33"/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F13" sqref="F13"/>
    </sheetView>
  </sheetViews>
  <sheetFormatPr defaultRowHeight="15" x14ac:dyDescent="0.25"/>
  <cols>
    <col min="1" max="1" width="11.5703125" bestFit="1" customWidth="1"/>
    <col min="2" max="2" width="19.7109375" customWidth="1"/>
    <col min="3" max="3" width="14.42578125" bestFit="1" customWidth="1"/>
  </cols>
  <sheetData>
    <row r="1" spans="1:3" ht="33.75" x14ac:dyDescent="0.5">
      <c r="A1" s="7" t="s">
        <v>5</v>
      </c>
      <c r="B1" s="7"/>
      <c r="C1" s="7"/>
    </row>
    <row r="2" spans="1:3" ht="21" x14ac:dyDescent="0.25">
      <c r="A2" s="32" t="s">
        <v>22</v>
      </c>
      <c r="B2" s="32" t="s">
        <v>57</v>
      </c>
      <c r="C2" s="32" t="s">
        <v>58</v>
      </c>
    </row>
    <row r="3" spans="1:3" x14ac:dyDescent="0.25">
      <c r="A3" s="1" t="s">
        <v>23</v>
      </c>
      <c r="B3" s="1">
        <f ca="1">SUMIF(AGENDA!A:A,'TIPO SERVIÇO R$'!A3,Tabela2[VALOR R$])</f>
        <v>0</v>
      </c>
      <c r="C3" s="1"/>
    </row>
    <row r="4" spans="1:3" x14ac:dyDescent="0.25">
      <c r="A4" s="1" t="s">
        <v>24</v>
      </c>
      <c r="B4" s="1">
        <f ca="1">SUMIF(AGENDA!A:A,'TIPO SERVIÇO R$'!A4,Tabela2[VALOR R$])</f>
        <v>0</v>
      </c>
      <c r="C4" s="1"/>
    </row>
    <row r="5" spans="1:3" x14ac:dyDescent="0.25">
      <c r="A5" s="1" t="s">
        <v>59</v>
      </c>
      <c r="B5" s="1">
        <f ca="1">SUMIF(AGENDA!A:A,'TIPO SERVIÇO R$'!A5,Tabela2[VALOR R$])</f>
        <v>0</v>
      </c>
      <c r="C5" s="1"/>
    </row>
    <row r="6" spans="1:3" x14ac:dyDescent="0.25">
      <c r="A6" s="1" t="s">
        <v>26</v>
      </c>
      <c r="B6" s="1">
        <f ca="1">SUMIF(AGENDA!A:A,'TIPO SERVIÇO R$'!A6,Tabela2[VALOR R$])</f>
        <v>0</v>
      </c>
      <c r="C6" s="1"/>
    </row>
    <row r="7" spans="1:3" x14ac:dyDescent="0.25">
      <c r="A7" s="1" t="s">
        <v>27</v>
      </c>
      <c r="B7" s="1">
        <f ca="1">SUMIF(AGENDA!A:A,'TIPO SERVIÇO R$'!A7,Tabela2[VALOR R$])</f>
        <v>0</v>
      </c>
      <c r="C7" s="1"/>
    </row>
    <row r="8" spans="1:3" x14ac:dyDescent="0.25">
      <c r="A8" s="1" t="s">
        <v>28</v>
      </c>
      <c r="B8" s="1">
        <f ca="1">SUMIF(AGENDA!A:A,'TIPO SERVIÇO R$'!A8,Tabela2[VALOR R$])</f>
        <v>0</v>
      </c>
      <c r="C8" s="1"/>
    </row>
    <row r="9" spans="1:3" x14ac:dyDescent="0.25">
      <c r="A9" s="1" t="s">
        <v>29</v>
      </c>
      <c r="B9" s="1">
        <f ca="1">SUMIF(AGENDA!A:A,'TIPO SERVIÇO R$'!A9,Tabela2[VALOR R$])</f>
        <v>0</v>
      </c>
      <c r="C9" s="1"/>
    </row>
    <row r="10" spans="1:3" x14ac:dyDescent="0.25">
      <c r="A10" s="1" t="s">
        <v>30</v>
      </c>
      <c r="B10" s="1">
        <f ca="1">SUMIF(AGENDA!A:A,'TIPO SERVIÇO R$'!A10,Tabela2[VALOR R$])</f>
        <v>0</v>
      </c>
      <c r="C10" s="1"/>
    </row>
    <row r="11" spans="1:3" x14ac:dyDescent="0.25">
      <c r="A11" s="1" t="s">
        <v>31</v>
      </c>
      <c r="B11" s="1">
        <f ca="1">SUMIF(AGENDA!A:A,'TIPO SERVIÇO R$'!A11,Tabela2[VALOR R$])</f>
        <v>0</v>
      </c>
      <c r="C11" s="1"/>
    </row>
    <row r="12" spans="1:3" x14ac:dyDescent="0.25">
      <c r="A12" s="1" t="s">
        <v>32</v>
      </c>
      <c r="B12" s="1">
        <f ca="1">SUMIF(AGENDA!A:A,'TIPO SERVIÇO R$'!A12,Tabela2[VALOR R$])</f>
        <v>0</v>
      </c>
      <c r="C12" s="1"/>
    </row>
    <row r="13" spans="1:3" x14ac:dyDescent="0.25">
      <c r="A13" s="1" t="s">
        <v>33</v>
      </c>
      <c r="B13" s="1">
        <f ca="1">SUMIF(AGENDA!A:A,'TIPO SERVIÇO R$'!A13,Tabela2[VALOR R$])</f>
        <v>0</v>
      </c>
      <c r="C13" s="1"/>
    </row>
    <row r="14" spans="1:3" x14ac:dyDescent="0.25">
      <c r="A14" s="1" t="s">
        <v>34</v>
      </c>
      <c r="B14" s="1">
        <f ca="1">SUMIF(AGENDA!A:A,'TIPO SERVIÇO R$'!A14,Tabela2[VALOR R$])</f>
        <v>0</v>
      </c>
      <c r="C14" s="1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FLUXO DE CAIXA</vt:lpstr>
      <vt:lpstr>AGENDA</vt:lpstr>
      <vt:lpstr>FUNCIONÁRIOS</vt:lpstr>
      <vt:lpstr>COMPRA-MATERIAL</vt:lpstr>
      <vt:lpstr>ESTOQUE-MATERIAL</vt:lpstr>
      <vt:lpstr>PRECIFICAÇÃO SERVIÇOS</vt:lpstr>
      <vt:lpstr>TIPO SERVIÇO R$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2025-12-15T16:03:48Z</dcterms:modified>
</cp:coreProperties>
</file>